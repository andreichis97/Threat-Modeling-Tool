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39" i="1" l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E33" i="1"/>
  <c r="D33" i="1"/>
  <c r="C34" i="1"/>
  <c r="C33" i="1"/>
  <c r="V38" i="1" l="1"/>
  <c r="Y38" i="1" s="1"/>
  <c r="V39" i="1" l="1"/>
  <c r="Y39" i="1" s="1"/>
  <c r="W38" i="1"/>
  <c r="Z38" i="1" s="1"/>
  <c r="U39" i="1"/>
  <c r="X39" i="1" s="1"/>
  <c r="W39" i="1"/>
  <c r="Z39" i="1" s="1"/>
  <c r="U38" i="1"/>
  <c r="X38" i="1" s="1"/>
  <c r="W35" i="1"/>
  <c r="Z35" i="1" s="1"/>
  <c r="V34" i="1"/>
  <c r="Y34" i="1" s="1"/>
  <c r="W36" i="1"/>
  <c r="Z36" i="1" s="1"/>
  <c r="W34" i="1"/>
  <c r="Z34" i="1" s="1"/>
  <c r="U33" i="1"/>
  <c r="U34" i="1"/>
  <c r="X34" i="1" s="1"/>
  <c r="V36" i="1"/>
  <c r="Y36" i="1" s="1"/>
  <c r="U35" i="1"/>
  <c r="X35" i="1" s="1"/>
  <c r="V37" i="1"/>
  <c r="Y37" i="1" s="1"/>
  <c r="V33" i="1"/>
  <c r="U36" i="1"/>
  <c r="X36" i="1" s="1"/>
  <c r="U37" i="1"/>
  <c r="X37" i="1" s="1"/>
  <c r="W33" i="1"/>
  <c r="V35" i="1"/>
  <c r="Y35" i="1" s="1"/>
  <c r="W37" i="1"/>
  <c r="Z37" i="1" s="1"/>
  <c r="J28" i="1"/>
  <c r="J27" i="1"/>
  <c r="J26" i="1"/>
  <c r="F28" i="1"/>
  <c r="F27" i="1"/>
  <c r="F26" i="1"/>
  <c r="B28" i="1"/>
  <c r="B27" i="1"/>
  <c r="B26" i="1"/>
  <c r="M28" i="1" l="1"/>
  <c r="N28" i="1" s="1"/>
  <c r="Z33" i="1"/>
  <c r="Z42" i="1" s="1"/>
  <c r="W42" i="1"/>
  <c r="X33" i="1"/>
  <c r="X42" i="1" s="1"/>
  <c r="U42" i="1"/>
  <c r="Y33" i="1"/>
  <c r="Y42" i="1" s="1"/>
  <c r="V42" i="1"/>
  <c r="M26" i="1"/>
  <c r="N26" i="1" s="1"/>
  <c r="M27" i="1"/>
  <c r="N27" i="1" s="1"/>
</calcChain>
</file>

<file path=xl/sharedStrings.xml><?xml version="1.0" encoding="utf-8"?>
<sst xmlns="http://schemas.openxmlformats.org/spreadsheetml/2006/main" count="208" uniqueCount="47">
  <si>
    <t>question</t>
  </si>
  <si>
    <t>verdict</t>
  </si>
  <si>
    <t>correct</t>
  </si>
  <si>
    <t>partially_correct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</si>
  <si>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</si>
  <si>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</si>
  <si>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</si>
  <si>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</si>
  <si>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</si>
  <si>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</si>
  <si>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</si>
  <si>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</si>
  <si>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</si>
  <si>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%</t>
  </si>
  <si>
    <t>% Correct</t>
  </si>
  <si>
    <t>% Partially correct</t>
  </si>
  <si>
    <t>% Incorrect</t>
  </si>
  <si>
    <t>Overall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</si>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</sst>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>
      <selection activeCell="P9" sqref="P9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4</v>
      </c>
      <c r="B1" t="s">
        <v>0</v>
      </c>
      <c r="C1" t="s">
        <v>1</v>
      </c>
      <c r="E1" t="s">
        <v>4</v>
      </c>
      <c r="F1" t="s">
        <v>0</v>
      </c>
      <c r="G1" t="s">
        <v>1</v>
      </c>
      <c r="I1" t="s">
        <v>4</v>
      </c>
      <c r="J1" t="s">
        <v>0</v>
      </c>
      <c r="K1" t="s">
        <v>1</v>
      </c>
    </row>
    <row r="2" spans="1:11" x14ac:dyDescent="0.3">
      <c r="A2">
        <v>1</v>
      </c>
      <c r="B2" t="s">
        <v>18</v>
      </c>
      <c r="C2" t="s">
        <v>2</v>
      </c>
      <c r="E2">
        <v>1</v>
      </c>
      <c r="F2" t="s">
        <v>18</v>
      </c>
      <c r="G2" t="s">
        <v>2</v>
      </c>
      <c r="I2">
        <v>1</v>
      </c>
      <c r="J2" t="s">
        <v>18</v>
      </c>
      <c r="K2" t="s">
        <v>2</v>
      </c>
    </row>
    <row r="3" spans="1:11" x14ac:dyDescent="0.3">
      <c r="A3">
        <v>2</v>
      </c>
      <c r="B3" t="s">
        <v>19</v>
      </c>
      <c r="C3" t="s">
        <v>2</v>
      </c>
      <c r="E3">
        <v>2</v>
      </c>
      <c r="F3" t="s">
        <v>19</v>
      </c>
      <c r="G3" t="s">
        <v>2</v>
      </c>
      <c r="I3">
        <v>2</v>
      </c>
      <c r="J3" t="s">
        <v>19</v>
      </c>
      <c r="K3" t="s">
        <v>2</v>
      </c>
    </row>
    <row r="4" spans="1:11" x14ac:dyDescent="0.3">
      <c r="A4">
        <v>3</v>
      </c>
      <c r="B4" t="s">
        <v>20</v>
      </c>
      <c r="C4" t="s">
        <v>2</v>
      </c>
      <c r="E4">
        <v>3</v>
      </c>
      <c r="F4" t="s">
        <v>20</v>
      </c>
      <c r="G4" t="s">
        <v>2</v>
      </c>
      <c r="I4">
        <v>3</v>
      </c>
      <c r="J4" t="s">
        <v>20</v>
      </c>
      <c r="K4" t="s">
        <v>2</v>
      </c>
    </row>
    <row r="5" spans="1:11" x14ac:dyDescent="0.3">
      <c r="A5">
        <v>4</v>
      </c>
      <c r="B5" t="s">
        <v>21</v>
      </c>
      <c r="C5" t="s">
        <v>2</v>
      </c>
      <c r="E5">
        <v>4</v>
      </c>
      <c r="F5" t="s">
        <v>21</v>
      </c>
      <c r="G5" t="s">
        <v>2</v>
      </c>
      <c r="I5">
        <v>4</v>
      </c>
      <c r="J5" t="s">
        <v>21</v>
      </c>
      <c r="K5" t="s">
        <v>2</v>
      </c>
    </row>
    <row r="6" spans="1:11" x14ac:dyDescent="0.3">
      <c r="A6">
        <v>5</v>
      </c>
      <c r="B6" t="s">
        <v>22</v>
      </c>
      <c r="C6" t="s">
        <v>2</v>
      </c>
      <c r="E6">
        <v>5</v>
      </c>
      <c r="F6" t="s">
        <v>22</v>
      </c>
      <c r="G6" t="s">
        <v>2</v>
      </c>
      <c r="I6">
        <v>5</v>
      </c>
      <c r="J6" t="s">
        <v>22</v>
      </c>
      <c r="K6" t="s">
        <v>2</v>
      </c>
    </row>
    <row r="7" spans="1:11" x14ac:dyDescent="0.3">
      <c r="A7">
        <v>6</v>
      </c>
      <c r="B7" t="s">
        <v>23</v>
      </c>
      <c r="C7" t="s">
        <v>2</v>
      </c>
      <c r="E7">
        <v>6</v>
      </c>
      <c r="F7" t="s">
        <v>23</v>
      </c>
      <c r="G7" t="s">
        <v>2</v>
      </c>
      <c r="I7">
        <v>6</v>
      </c>
      <c r="J7" t="s">
        <v>23</v>
      </c>
      <c r="K7" t="s">
        <v>2</v>
      </c>
    </row>
    <row r="8" spans="1:11" x14ac:dyDescent="0.3">
      <c r="A8">
        <v>7</v>
      </c>
      <c r="B8" t="s">
        <v>24</v>
      </c>
      <c r="C8" t="s">
        <v>2</v>
      </c>
      <c r="E8">
        <v>7</v>
      </c>
      <c r="F8" t="s">
        <v>24</v>
      </c>
      <c r="G8" t="s">
        <v>2</v>
      </c>
      <c r="I8">
        <v>7</v>
      </c>
      <c r="J8" t="s">
        <v>24</v>
      </c>
      <c r="K8" t="s">
        <v>2</v>
      </c>
    </row>
    <row r="9" spans="1:11" x14ac:dyDescent="0.3">
      <c r="A9">
        <v>8</v>
      </c>
      <c r="B9" t="s">
        <v>25</v>
      </c>
      <c r="C9" t="s">
        <v>3</v>
      </c>
      <c r="E9">
        <v>8</v>
      </c>
      <c r="F9" t="s">
        <v>25</v>
      </c>
      <c r="G9" t="s">
        <v>3</v>
      </c>
      <c r="I9">
        <v>8</v>
      </c>
      <c r="J9" t="s">
        <v>25</v>
      </c>
      <c r="K9" t="s">
        <v>3</v>
      </c>
    </row>
    <row r="10" spans="1:11" x14ac:dyDescent="0.3">
      <c r="A10">
        <v>9</v>
      </c>
      <c r="B10" t="s">
        <v>26</v>
      </c>
      <c r="C10" t="s">
        <v>2</v>
      </c>
      <c r="E10">
        <v>9</v>
      </c>
      <c r="F10" t="s">
        <v>26</v>
      </c>
      <c r="G10" t="s">
        <v>2</v>
      </c>
      <c r="I10">
        <v>9</v>
      </c>
      <c r="J10" t="s">
        <v>26</v>
      </c>
      <c r="K10" t="s">
        <v>2</v>
      </c>
    </row>
    <row r="11" spans="1:11" x14ac:dyDescent="0.3">
      <c r="A11">
        <v>10</v>
      </c>
      <c r="B11" t="s">
        <v>27</v>
      </c>
      <c r="C11" t="s">
        <v>2</v>
      </c>
      <c r="E11">
        <v>10</v>
      </c>
      <c r="F11" t="s">
        <v>27</v>
      </c>
      <c r="G11" t="s">
        <v>2</v>
      </c>
      <c r="I11">
        <v>10</v>
      </c>
      <c r="J11" t="s">
        <v>27</v>
      </c>
      <c r="K11" t="s">
        <v>2</v>
      </c>
    </row>
    <row r="12" spans="1:11" x14ac:dyDescent="0.3">
      <c r="A12">
        <v>11</v>
      </c>
      <c r="B12" t="s">
        <v>28</v>
      </c>
      <c r="C12" t="s">
        <v>2</v>
      </c>
      <c r="E12">
        <v>11</v>
      </c>
      <c r="F12" t="s">
        <v>28</v>
      </c>
      <c r="G12" t="s">
        <v>2</v>
      </c>
      <c r="I12">
        <v>11</v>
      </c>
      <c r="J12" t="s">
        <v>28</v>
      </c>
      <c r="K12" t="s">
        <v>2</v>
      </c>
    </row>
    <row r="13" spans="1:11" x14ac:dyDescent="0.3">
      <c r="A13">
        <v>12</v>
      </c>
      <c r="B13" t="s">
        <v>29</v>
      </c>
      <c r="C13" t="s">
        <v>3</v>
      </c>
      <c r="E13">
        <v>12</v>
      </c>
      <c r="F13" t="s">
        <v>29</v>
      </c>
      <c r="G13" t="s">
        <v>3</v>
      </c>
      <c r="I13">
        <v>12</v>
      </c>
      <c r="J13" t="s">
        <v>29</v>
      </c>
      <c r="K13" t="s">
        <v>3</v>
      </c>
    </row>
    <row r="14" spans="1:11" x14ac:dyDescent="0.3">
      <c r="A14">
        <v>13</v>
      </c>
      <c r="B14" t="s">
        <v>30</v>
      </c>
      <c r="C14" t="s">
        <v>46</v>
      </c>
      <c r="E14">
        <v>13</v>
      </c>
      <c r="F14" t="s">
        <v>30</v>
      </c>
      <c r="G14" t="s">
        <v>46</v>
      </c>
      <c r="I14">
        <v>13</v>
      </c>
      <c r="J14" t="s">
        <v>30</v>
      </c>
      <c r="K14" t="s">
        <v>46</v>
      </c>
    </row>
    <row r="15" spans="1:11" x14ac:dyDescent="0.3">
      <c r="A15">
        <v>14</v>
      </c>
      <c r="B15" t="s">
        <v>31</v>
      </c>
      <c r="C15" t="s">
        <v>2</v>
      </c>
      <c r="E15">
        <v>14</v>
      </c>
      <c r="F15" t="s">
        <v>31</v>
      </c>
      <c r="G15" t="s">
        <v>2</v>
      </c>
      <c r="I15">
        <v>14</v>
      </c>
      <c r="J15" t="s">
        <v>31</v>
      </c>
      <c r="K15" t="s">
        <v>2</v>
      </c>
    </row>
    <row r="16" spans="1:11" x14ac:dyDescent="0.3">
      <c r="A16">
        <v>15</v>
      </c>
      <c r="B16" t="s">
        <v>32</v>
      </c>
      <c r="C16" t="s">
        <v>2</v>
      </c>
      <c r="E16">
        <v>15</v>
      </c>
      <c r="F16" t="s">
        <v>32</v>
      </c>
      <c r="G16" t="s">
        <v>2</v>
      </c>
      <c r="I16">
        <v>15</v>
      </c>
      <c r="J16" t="s">
        <v>32</v>
      </c>
      <c r="K16" t="s">
        <v>2</v>
      </c>
    </row>
    <row r="17" spans="1:26" x14ac:dyDescent="0.3">
      <c r="A17">
        <v>16</v>
      </c>
      <c r="B17" t="s">
        <v>33</v>
      </c>
      <c r="C17" t="s">
        <v>46</v>
      </c>
      <c r="E17">
        <v>16</v>
      </c>
      <c r="F17" t="s">
        <v>33</v>
      </c>
      <c r="G17" t="s">
        <v>46</v>
      </c>
      <c r="I17">
        <v>16</v>
      </c>
      <c r="J17" t="s">
        <v>33</v>
      </c>
      <c r="K17" t="s">
        <v>46</v>
      </c>
    </row>
    <row r="18" spans="1:26" x14ac:dyDescent="0.3">
      <c r="A18">
        <v>17</v>
      </c>
      <c r="B18" t="s">
        <v>34</v>
      </c>
      <c r="C18" t="s">
        <v>46</v>
      </c>
      <c r="E18">
        <v>17</v>
      </c>
      <c r="F18" t="s">
        <v>34</v>
      </c>
      <c r="G18" t="s">
        <v>46</v>
      </c>
      <c r="I18">
        <v>17</v>
      </c>
      <c r="J18" t="s">
        <v>34</v>
      </c>
      <c r="K18" t="s">
        <v>46</v>
      </c>
    </row>
    <row r="19" spans="1:26" x14ac:dyDescent="0.3">
      <c r="A19">
        <v>18</v>
      </c>
      <c r="B19" t="s">
        <v>35</v>
      </c>
      <c r="C19" t="s">
        <v>3</v>
      </c>
      <c r="E19">
        <v>18</v>
      </c>
      <c r="F19" t="s">
        <v>35</v>
      </c>
      <c r="G19" t="s">
        <v>3</v>
      </c>
      <c r="I19">
        <v>18</v>
      </c>
      <c r="J19" t="s">
        <v>35</v>
      </c>
      <c r="K19" t="s">
        <v>3</v>
      </c>
    </row>
    <row r="20" spans="1:26" x14ac:dyDescent="0.3">
      <c r="A20">
        <v>19</v>
      </c>
      <c r="B20" t="s">
        <v>36</v>
      </c>
      <c r="C20" t="s">
        <v>2</v>
      </c>
      <c r="E20">
        <v>19</v>
      </c>
      <c r="F20" t="s">
        <v>36</v>
      </c>
      <c r="G20" t="s">
        <v>2</v>
      </c>
      <c r="I20">
        <v>19</v>
      </c>
      <c r="J20" t="s">
        <v>36</v>
      </c>
      <c r="K20" t="s">
        <v>2</v>
      </c>
    </row>
    <row r="21" spans="1:26" x14ac:dyDescent="0.3">
      <c r="A21">
        <v>20</v>
      </c>
      <c r="B21" t="s">
        <v>37</v>
      </c>
      <c r="C21" t="s">
        <v>3</v>
      </c>
      <c r="E21">
        <v>20</v>
      </c>
      <c r="F21" t="s">
        <v>37</v>
      </c>
      <c r="G21" t="s">
        <v>3</v>
      </c>
      <c r="I21">
        <v>20</v>
      </c>
      <c r="J21" t="s">
        <v>37</v>
      </c>
      <c r="K21" t="s">
        <v>3</v>
      </c>
    </row>
    <row r="22" spans="1:26" x14ac:dyDescent="0.3">
      <c r="A22">
        <v>21</v>
      </c>
      <c r="B22" t="s">
        <v>38</v>
      </c>
      <c r="C22" t="s">
        <v>2</v>
      </c>
      <c r="E22">
        <v>21</v>
      </c>
      <c r="F22" t="s">
        <v>38</v>
      </c>
      <c r="G22" t="s">
        <v>2</v>
      </c>
      <c r="I22">
        <v>21</v>
      </c>
      <c r="J22" t="s">
        <v>38</v>
      </c>
      <c r="K22" t="s">
        <v>2</v>
      </c>
    </row>
    <row r="25" spans="1:26" x14ac:dyDescent="0.3">
      <c r="A25" t="s">
        <v>5</v>
      </c>
      <c r="E25" t="s">
        <v>9</v>
      </c>
      <c r="I25" t="s">
        <v>10</v>
      </c>
      <c r="L25" t="s">
        <v>11</v>
      </c>
      <c r="N25" t="s">
        <v>13</v>
      </c>
    </row>
    <row r="26" spans="1:26" x14ac:dyDescent="0.3">
      <c r="A26" t="s">
        <v>6</v>
      </c>
      <c r="B26">
        <f>COUNTIF(C2:C22, "correct")</f>
        <v>14</v>
      </c>
      <c r="E26" t="s">
        <v>6</v>
      </c>
      <c r="F26">
        <f>COUNTIF(G2:G22, "correct")</f>
        <v>14</v>
      </c>
      <c r="I26" t="s">
        <v>6</v>
      </c>
      <c r="J26">
        <f>COUNTIF(K2:K22, "correct")</f>
        <v>14</v>
      </c>
      <c r="L26" t="s">
        <v>6</v>
      </c>
      <c r="M26">
        <f>(B26+F26+J26)/3</f>
        <v>14</v>
      </c>
      <c r="N26" s="2">
        <f>M26/21</f>
        <v>0.66666666666666663</v>
      </c>
    </row>
    <row r="27" spans="1:26" x14ac:dyDescent="0.3">
      <c r="A27" t="s">
        <v>7</v>
      </c>
      <c r="B27">
        <f>COUNTIF(C2:C22, "partially_correct")</f>
        <v>4</v>
      </c>
      <c r="E27" t="s">
        <v>7</v>
      </c>
      <c r="F27">
        <f>COUNTIF(G2:G22, "partially_correct")</f>
        <v>4</v>
      </c>
      <c r="I27" t="s">
        <v>7</v>
      </c>
      <c r="J27">
        <f>COUNTIF(K2:K22, "partially_correct")</f>
        <v>4</v>
      </c>
      <c r="L27" t="s">
        <v>7</v>
      </c>
      <c r="M27">
        <f t="shared" ref="M27:M28" si="0">(B27+F27+J27)/3</f>
        <v>4</v>
      </c>
      <c r="N27" s="2">
        <f>M27/21</f>
        <v>0.19047619047619047</v>
      </c>
    </row>
    <row r="28" spans="1:26" x14ac:dyDescent="0.3">
      <c r="A28" t="s">
        <v>8</v>
      </c>
      <c r="B28">
        <f>COUNTIF(C2:C22, "incorrect")</f>
        <v>3</v>
      </c>
      <c r="E28" t="s">
        <v>8</v>
      </c>
      <c r="F28">
        <f>COUNTIF(G2:G22, "incorrect")</f>
        <v>3</v>
      </c>
      <c r="I28" t="s">
        <v>8</v>
      </c>
      <c r="J28">
        <f>COUNTIF(K2:K22, "incorrect")</f>
        <v>3</v>
      </c>
      <c r="L28" t="s">
        <v>8</v>
      </c>
      <c r="M28">
        <f t="shared" si="0"/>
        <v>3</v>
      </c>
      <c r="N28" s="2">
        <f>M28/21</f>
        <v>0.14285714285714285</v>
      </c>
    </row>
    <row r="31" spans="1:26" x14ac:dyDescent="0.3">
      <c r="A31" t="s">
        <v>5</v>
      </c>
      <c r="G31" t="s">
        <v>9</v>
      </c>
      <c r="M31" t="s">
        <v>10</v>
      </c>
      <c r="S31" t="s">
        <v>11</v>
      </c>
    </row>
    <row r="32" spans="1:26" x14ac:dyDescent="0.3">
      <c r="A32" t="s">
        <v>4</v>
      </c>
      <c r="B32" t="s">
        <v>12</v>
      </c>
      <c r="C32" t="s">
        <v>6</v>
      </c>
      <c r="D32" t="s">
        <v>7</v>
      </c>
      <c r="E32" t="s">
        <v>8</v>
      </c>
      <c r="G32" t="s">
        <v>4</v>
      </c>
      <c r="H32" t="s">
        <v>12</v>
      </c>
      <c r="I32" t="s">
        <v>6</v>
      </c>
      <c r="J32" t="s">
        <v>7</v>
      </c>
      <c r="K32" t="s">
        <v>8</v>
      </c>
      <c r="M32" t="s">
        <v>4</v>
      </c>
      <c r="N32" t="s">
        <v>12</v>
      </c>
      <c r="O32" t="s">
        <v>6</v>
      </c>
      <c r="P32" t="s">
        <v>7</v>
      </c>
      <c r="Q32" t="s">
        <v>8</v>
      </c>
      <c r="S32" t="s">
        <v>4</v>
      </c>
      <c r="T32" t="s">
        <v>12</v>
      </c>
      <c r="U32" t="s">
        <v>6</v>
      </c>
      <c r="V32" t="s">
        <v>7</v>
      </c>
      <c r="W32" t="s">
        <v>8</v>
      </c>
      <c r="X32" t="s">
        <v>14</v>
      </c>
      <c r="Y32" t="s">
        <v>15</v>
      </c>
      <c r="Z32" t="s">
        <v>16</v>
      </c>
    </row>
    <row r="33" spans="1:26" x14ac:dyDescent="0.3">
      <c r="A33">
        <v>1</v>
      </c>
      <c r="B33" s="1" t="s">
        <v>39</v>
      </c>
      <c r="C33">
        <f>COUNTIF(C2:C4, "correct")</f>
        <v>3</v>
      </c>
      <c r="D33">
        <f>COUNTIF(C2:C4, "partially_correct")</f>
        <v>0</v>
      </c>
      <c r="E33">
        <f>COUNTIF(C2:C4, "incorrect")</f>
        <v>0</v>
      </c>
      <c r="G33">
        <v>1</v>
      </c>
      <c r="H33" s="1" t="s">
        <v>39</v>
      </c>
      <c r="I33">
        <f>COUNTIF(G2:G4, "correct")</f>
        <v>3</v>
      </c>
      <c r="J33">
        <f>COUNTIF(G2:G4, "partially_correct")</f>
        <v>0</v>
      </c>
      <c r="K33">
        <f>COUNTIF(G2:G4, "incorrect")</f>
        <v>0</v>
      </c>
      <c r="M33">
        <v>1</v>
      </c>
      <c r="N33" s="1" t="s">
        <v>39</v>
      </c>
      <c r="O33">
        <f>COUNTIF(K2:K4, "correct")</f>
        <v>3</v>
      </c>
      <c r="P33">
        <f>COUNTIF(K2:K4, "partially_correct")</f>
        <v>0</v>
      </c>
      <c r="Q33">
        <f>COUNTIF(K2:K4, "incorrect")</f>
        <v>0</v>
      </c>
      <c r="S33">
        <v>1</v>
      </c>
      <c r="T33" s="1" t="s">
        <v>39</v>
      </c>
      <c r="U33">
        <f>(C33+I33+O33)/3</f>
        <v>3</v>
      </c>
      <c r="V33">
        <f>(D33+J33+P33)/3</f>
        <v>0</v>
      </c>
      <c r="W33">
        <f>(E33+K33+Q33)/3</f>
        <v>0</v>
      </c>
      <c r="X33" s="2">
        <f>U33/3</f>
        <v>1</v>
      </c>
      <c r="Y33" s="2">
        <f>V33/3</f>
        <v>0</v>
      </c>
      <c r="Z33" s="2">
        <f>W33/3</f>
        <v>0</v>
      </c>
    </row>
    <row r="34" spans="1:26" x14ac:dyDescent="0.3">
      <c r="A34">
        <v>2</v>
      </c>
      <c r="B34" s="1" t="s">
        <v>40</v>
      </c>
      <c r="C34">
        <f>COUNTIF(C5:C7, "correct")</f>
        <v>3</v>
      </c>
      <c r="D34">
        <f>COUNTIF(C5:C7, "partially_correct")</f>
        <v>0</v>
      </c>
      <c r="E34">
        <f>COUNTIF(C5:C7, "incorrect")</f>
        <v>0</v>
      </c>
      <c r="G34">
        <v>2</v>
      </c>
      <c r="H34" s="1" t="s">
        <v>40</v>
      </c>
      <c r="I34">
        <f>COUNTIF(G5:G7, "correct")</f>
        <v>3</v>
      </c>
      <c r="J34">
        <f>COUNTIF(G5:G7, "partially_correct")</f>
        <v>0</v>
      </c>
      <c r="K34">
        <f>COUNTIF(G5:G7, "incorrect")</f>
        <v>0</v>
      </c>
      <c r="M34">
        <v>2</v>
      </c>
      <c r="N34" s="1" t="s">
        <v>40</v>
      </c>
      <c r="O34">
        <f>COUNTIF(K5:K7, "correct")</f>
        <v>3</v>
      </c>
      <c r="P34">
        <f>COUNTIF(K5:K7, "partially_correct")</f>
        <v>0</v>
      </c>
      <c r="Q34">
        <f>COUNTIF(K5:K7, "incorrect")</f>
        <v>0</v>
      </c>
      <c r="S34">
        <v>2</v>
      </c>
      <c r="T34" s="1" t="s">
        <v>40</v>
      </c>
      <c r="U34">
        <f t="shared" ref="U34:U39" si="1">(C34+I34+O34)/3</f>
        <v>3</v>
      </c>
      <c r="V34">
        <f t="shared" ref="V34:V39" si="2">(D34+J34+P34)/3</f>
        <v>0</v>
      </c>
      <c r="W34">
        <f t="shared" ref="W34:W39" si="3">(E34+K34+Q34)/3</f>
        <v>0</v>
      </c>
      <c r="X34" s="2">
        <f t="shared" ref="X34:X39" si="4">U34/3</f>
        <v>1</v>
      </c>
      <c r="Y34" s="2">
        <f t="shared" ref="Y34:Y39" si="5">V34/3</f>
        <v>0</v>
      </c>
      <c r="Z34" s="2">
        <f t="shared" ref="Z34:Z39" si="6">W34/3</f>
        <v>0</v>
      </c>
    </row>
    <row r="35" spans="1:26" x14ac:dyDescent="0.3">
      <c r="A35">
        <v>3</v>
      </c>
      <c r="B35" s="1" t="s">
        <v>41</v>
      </c>
      <c r="C35">
        <f>COUNTIF(C8:C10, "correct")</f>
        <v>2</v>
      </c>
      <c r="D35">
        <f>COUNTIF(C8:C10, "partially_correct")</f>
        <v>1</v>
      </c>
      <c r="E35">
        <f>COUNTIF(C8:C10, "incorrect")</f>
        <v>0</v>
      </c>
      <c r="G35">
        <v>3</v>
      </c>
      <c r="H35" s="1" t="s">
        <v>41</v>
      </c>
      <c r="I35">
        <f>COUNTIF(G8:G10, "correct")</f>
        <v>2</v>
      </c>
      <c r="J35">
        <f>COUNTIF(G8:G10, "partially_correct")</f>
        <v>1</v>
      </c>
      <c r="K35">
        <f>COUNTIF(G8:G10, "incorrect")</f>
        <v>0</v>
      </c>
      <c r="M35">
        <v>3</v>
      </c>
      <c r="N35" s="1" t="s">
        <v>41</v>
      </c>
      <c r="O35">
        <f>COUNTIF(K8:K10, "correct")</f>
        <v>2</v>
      </c>
      <c r="P35">
        <f>COUNTIF(K8:K10, "partially_correct")</f>
        <v>1</v>
      </c>
      <c r="Q35">
        <f>COUNTIF(K8:K10, "incorrect")</f>
        <v>0</v>
      </c>
      <c r="S35">
        <v>3</v>
      </c>
      <c r="T35" s="1" t="s">
        <v>41</v>
      </c>
      <c r="U35">
        <f t="shared" si="1"/>
        <v>2</v>
      </c>
      <c r="V35">
        <f t="shared" si="2"/>
        <v>1</v>
      </c>
      <c r="W35">
        <f t="shared" si="3"/>
        <v>0</v>
      </c>
      <c r="X35" s="2">
        <f t="shared" si="4"/>
        <v>0.66666666666666663</v>
      </c>
      <c r="Y35" s="2">
        <f t="shared" si="5"/>
        <v>0.33333333333333331</v>
      </c>
      <c r="Z35" s="2">
        <f t="shared" si="6"/>
        <v>0</v>
      </c>
    </row>
    <row r="36" spans="1:26" x14ac:dyDescent="0.3">
      <c r="A36">
        <v>4</v>
      </c>
      <c r="B36" s="1" t="s">
        <v>42</v>
      </c>
      <c r="C36">
        <f>COUNTIF(C11:C13, "correct")</f>
        <v>2</v>
      </c>
      <c r="D36">
        <f>COUNTIF(C11:C13, "partially_correct")</f>
        <v>1</v>
      </c>
      <c r="E36">
        <f>COUNTIF(C11:C13, "incorrect")</f>
        <v>0</v>
      </c>
      <c r="G36">
        <v>4</v>
      </c>
      <c r="H36" s="1" t="s">
        <v>42</v>
      </c>
      <c r="I36">
        <f>COUNTIF(G11:G13, "correct")</f>
        <v>2</v>
      </c>
      <c r="J36">
        <f>COUNTIF(G11:G13, "partially_correct")</f>
        <v>1</v>
      </c>
      <c r="K36">
        <f>COUNTIF(G11:G13, "incorrect")</f>
        <v>0</v>
      </c>
      <c r="M36">
        <v>4</v>
      </c>
      <c r="N36" s="1" t="s">
        <v>42</v>
      </c>
      <c r="O36">
        <f>COUNTIF(K11:K13, "correct")</f>
        <v>2</v>
      </c>
      <c r="P36">
        <f>COUNTIF(K11:K13, "partially_correct")</f>
        <v>1</v>
      </c>
      <c r="Q36">
        <f>COUNTIF(K11:K13, "incorrect")</f>
        <v>0</v>
      </c>
      <c r="S36">
        <v>4</v>
      </c>
      <c r="T36" s="1" t="s">
        <v>42</v>
      </c>
      <c r="U36">
        <f t="shared" si="1"/>
        <v>2</v>
      </c>
      <c r="V36">
        <f t="shared" si="2"/>
        <v>1</v>
      </c>
      <c r="W36">
        <f t="shared" si="3"/>
        <v>0</v>
      </c>
      <c r="X36" s="2">
        <f t="shared" si="4"/>
        <v>0.66666666666666663</v>
      </c>
      <c r="Y36" s="2">
        <f t="shared" si="5"/>
        <v>0.33333333333333331</v>
      </c>
      <c r="Z36" s="2">
        <f t="shared" si="6"/>
        <v>0</v>
      </c>
    </row>
    <row r="37" spans="1:26" x14ac:dyDescent="0.3">
      <c r="A37">
        <v>5</v>
      </c>
      <c r="B37" s="1" t="s">
        <v>43</v>
      </c>
      <c r="C37">
        <f>COUNTIF(C14:C16, "correct")</f>
        <v>2</v>
      </c>
      <c r="D37">
        <f>COUNTIF(C14:C16, "partially_correct")</f>
        <v>0</v>
      </c>
      <c r="E37">
        <f>COUNTIF(C14:C16, "incorrect")</f>
        <v>1</v>
      </c>
      <c r="G37">
        <v>5</v>
      </c>
      <c r="H37" s="1" t="s">
        <v>43</v>
      </c>
      <c r="I37">
        <f>COUNTIF(G14:G16, "correct")</f>
        <v>2</v>
      </c>
      <c r="J37">
        <f>COUNTIF(G14:G16, "partially_correct")</f>
        <v>0</v>
      </c>
      <c r="K37">
        <f>COUNTIF(G14:G16, "incorrect")</f>
        <v>1</v>
      </c>
      <c r="M37">
        <v>5</v>
      </c>
      <c r="N37" s="1" t="s">
        <v>43</v>
      </c>
      <c r="O37">
        <f>COUNTIF(K14:K16, "correct")</f>
        <v>2</v>
      </c>
      <c r="P37">
        <f>COUNTIF(K14:K16, "partially_correct")</f>
        <v>0</v>
      </c>
      <c r="Q37">
        <f>COUNTIF(K14:K16, "incorrect")</f>
        <v>1</v>
      </c>
      <c r="S37">
        <v>5</v>
      </c>
      <c r="T37" s="1" t="s">
        <v>43</v>
      </c>
      <c r="U37">
        <f t="shared" si="1"/>
        <v>2</v>
      </c>
      <c r="V37">
        <f t="shared" si="2"/>
        <v>0</v>
      </c>
      <c r="W37">
        <f t="shared" si="3"/>
        <v>1</v>
      </c>
      <c r="X37" s="2">
        <f t="shared" si="4"/>
        <v>0.66666666666666663</v>
      </c>
      <c r="Y37" s="2">
        <f t="shared" si="5"/>
        <v>0</v>
      </c>
      <c r="Z37" s="2">
        <f t="shared" si="6"/>
        <v>0.33333333333333331</v>
      </c>
    </row>
    <row r="38" spans="1:26" x14ac:dyDescent="0.3">
      <c r="A38">
        <v>6</v>
      </c>
      <c r="B38" s="1" t="s">
        <v>44</v>
      </c>
      <c r="C38">
        <f>COUNTIF(C17:C19, "correct")</f>
        <v>0</v>
      </c>
      <c r="D38">
        <f>COUNTIF(C17:C19, "partially_correct")</f>
        <v>1</v>
      </c>
      <c r="E38">
        <f>COUNTIF(C17:C19, "incorrect")</f>
        <v>2</v>
      </c>
      <c r="G38">
        <v>6</v>
      </c>
      <c r="H38" s="1" t="s">
        <v>44</v>
      </c>
      <c r="I38">
        <f>COUNTIF(G17:G19, "correct")</f>
        <v>0</v>
      </c>
      <c r="J38">
        <f>COUNTIF(G17:G19, "partially_correct")</f>
        <v>1</v>
      </c>
      <c r="K38">
        <f>COUNTIF(G17:G19, "incorrect")</f>
        <v>2</v>
      </c>
      <c r="M38">
        <v>6</v>
      </c>
      <c r="N38" s="1" t="s">
        <v>44</v>
      </c>
      <c r="O38">
        <f>COUNTIF(K17:K19, "correct")</f>
        <v>0</v>
      </c>
      <c r="P38">
        <f>COUNTIF(K17:K19, "partially_correct")</f>
        <v>1</v>
      </c>
      <c r="Q38">
        <f>COUNTIF(K17:K19, "incorrect")</f>
        <v>2</v>
      </c>
      <c r="S38">
        <v>6</v>
      </c>
      <c r="T38" s="1" t="s">
        <v>44</v>
      </c>
      <c r="U38">
        <f t="shared" si="1"/>
        <v>0</v>
      </c>
      <c r="V38">
        <f t="shared" si="2"/>
        <v>1</v>
      </c>
      <c r="W38">
        <f t="shared" si="3"/>
        <v>2</v>
      </c>
      <c r="X38" s="2">
        <f t="shared" si="4"/>
        <v>0</v>
      </c>
      <c r="Y38" s="2">
        <f t="shared" si="5"/>
        <v>0.33333333333333331</v>
      </c>
      <c r="Z38" s="2">
        <f t="shared" si="6"/>
        <v>0.66666666666666663</v>
      </c>
    </row>
    <row r="39" spans="1:26" x14ac:dyDescent="0.3">
      <c r="A39">
        <v>7</v>
      </c>
      <c r="B39" s="1" t="s">
        <v>45</v>
      </c>
      <c r="C39">
        <f>COUNTIF(C20:C22, "correct")</f>
        <v>2</v>
      </c>
      <c r="D39">
        <f>COUNTIF(C20:C22, "partially_correct")</f>
        <v>1</v>
      </c>
      <c r="E39">
        <f>COUNTIF(C20:C22, "incorrect")</f>
        <v>0</v>
      </c>
      <c r="G39">
        <v>7</v>
      </c>
      <c r="H39" s="1" t="s">
        <v>45</v>
      </c>
      <c r="I39">
        <f>COUNTIF(G20:G22, "correct")</f>
        <v>2</v>
      </c>
      <c r="J39">
        <f>COUNTIF(G20:G22, "partially_correct")</f>
        <v>1</v>
      </c>
      <c r="K39">
        <f>COUNTIF(G20:G22, "incorrect")</f>
        <v>0</v>
      </c>
      <c r="M39">
        <v>7</v>
      </c>
      <c r="N39" s="1" t="s">
        <v>45</v>
      </c>
      <c r="O39">
        <f>COUNTIF(K20:K22, "correct")</f>
        <v>2</v>
      </c>
      <c r="P39">
        <f>COUNTIF(K20:K22, "partially_correct")</f>
        <v>1</v>
      </c>
      <c r="Q39">
        <f>COUNTIF(K20:K22, "incorrect")</f>
        <v>0</v>
      </c>
      <c r="S39">
        <v>7</v>
      </c>
      <c r="T39" s="1" t="s">
        <v>45</v>
      </c>
      <c r="U39">
        <f t="shared" si="1"/>
        <v>2</v>
      </c>
      <c r="V39">
        <f t="shared" si="2"/>
        <v>1</v>
      </c>
      <c r="W39">
        <f t="shared" si="3"/>
        <v>0</v>
      </c>
      <c r="X39" s="2">
        <f t="shared" si="4"/>
        <v>0.66666666666666663</v>
      </c>
      <c r="Y39" s="2">
        <f t="shared" si="5"/>
        <v>0.33333333333333331</v>
      </c>
      <c r="Z39" s="2">
        <f t="shared" si="6"/>
        <v>0</v>
      </c>
    </row>
    <row r="42" spans="1:26" x14ac:dyDescent="0.3">
      <c r="T42" t="s">
        <v>17</v>
      </c>
      <c r="U42">
        <f t="shared" ref="U42:Z42" si="7">SUM(U33:U39)/7</f>
        <v>2</v>
      </c>
      <c r="V42">
        <f t="shared" si="7"/>
        <v>0.5714285714285714</v>
      </c>
      <c r="W42">
        <f t="shared" si="7"/>
        <v>0.42857142857142855</v>
      </c>
      <c r="X42" s="2">
        <f t="shared" si="7"/>
        <v>0.66666666666666663</v>
      </c>
      <c r="Y42" s="2">
        <f t="shared" si="7"/>
        <v>0.19047619047619047</v>
      </c>
      <c r="Z42" s="2">
        <f t="shared" si="7"/>
        <v>0.14285714285714285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2026-03-31T09:57:45Z</dcterms:modified>
</cp:coreProperties>
</file>