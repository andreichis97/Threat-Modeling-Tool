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J2" i="1"/>
  <c r="I2" i="1"/>
  <c r="Q4" i="1" l="1"/>
  <c r="Q7" i="1"/>
  <c r="Q3" i="1"/>
  <c r="Q6" i="1"/>
  <c r="P8" i="1"/>
  <c r="P7" i="1"/>
  <c r="P4" i="1"/>
  <c r="P6" i="1"/>
  <c r="Q2" i="1"/>
  <c r="P5" i="1"/>
  <c r="P3" i="1"/>
  <c r="Q5" i="1"/>
  <c r="P2" i="1"/>
  <c r="Q8" i="1"/>
  <c r="Q11" i="1" l="1"/>
  <c r="P11" i="1"/>
</calcChain>
</file>

<file path=xl/sharedStrings.xml><?xml version="1.0" encoding="utf-8"?>
<sst xmlns="http://schemas.openxmlformats.org/spreadsheetml/2006/main" count="44" uniqueCount="37">
  <si>
    <t>question</t>
  </si>
  <si>
    <t>time</t>
  </si>
  <si>
    <t>cost</t>
  </si>
  <si>
    <t>ID</t>
  </si>
  <si>
    <t>Avg time</t>
  </si>
  <si>
    <t>Avg cost</t>
  </si>
  <si>
    <t>Category</t>
  </si>
  <si>
    <t>Avg time total</t>
  </si>
  <si>
    <t>Avg cost total</t>
  </si>
  <si>
    <t>What is the score and severity of the threat "Patient Data Exfiltration"?</t>
  </si>
  <si>
    <t>What is the severity of the threat "Physician Identity Spoofing"?</t>
  </si>
  <si>
    <t>How long is the regulatory deadline for substance reporting in the case of threat "Controlled Substance Reporting Denial of Service"?</t>
  </si>
  <si>
    <t>What threats is the "Patient" external entity susceptible to?</t>
  </si>
  <si>
    <t>Which threats affect the "Pharmacy Dispensing &amp; Inventory Records", and what are their risk levels?</t>
  </si>
  <si>
    <t>What threats are assigned to the process "Manage Clinical Records", and what is the severity of each?</t>
  </si>
  <si>
    <t>Which mitigations address the threat "Unauthorized Clinical Record Modification"?</t>
  </si>
  <si>
    <t>What mitigations are linked to "Controlled Substance Dispensing Record Deletion", and what are their descriptions?</t>
  </si>
  <si>
    <t>Which single mitigation addresses "Eligibility Process Elevation of Privilege"?</t>
  </si>
  <si>
    <t>Which mitigations address the threats affecting the process "Dispense Medication"?</t>
  </si>
  <si>
    <t>Which mitigations address the threats affecting the data store "Insurance Claims Repository"?</t>
  </si>
  <si>
    <t>What threats is the "Electronic Health Records Database" data store susceptible to across all cases?</t>
  </si>
  <si>
    <t>What process takes as input the data flow outputted by process "Patient Registration Gateway" and what is the name of the data flow?</t>
  </si>
  <si>
    <t>What processes take as input the data flows provided by data store "Electronic Health Records Database"?</t>
  </si>
  <si>
    <t>What data stores store data flows outputted by the process "Dispense Medication"?</t>
  </si>
  <si>
    <t>Which data flows cross the "Hospital Perimeter Network" trust boundary?</t>
  </si>
  <si>
    <t>Which data flows cross the "Pharmacy Application Zone" trust boundary?</t>
  </si>
  <si>
    <t>In which trust zone do process "Receive &amp; Validate Prescription" and data store "Insurance Claims Repository" reside in?</t>
  </si>
  <si>
    <t>Trace the path from "Prescribing Physician" to the data store "Clinical Audit Trail".</t>
  </si>
  <si>
    <t>Trace the path from "Patient" to the "Insurance Claims Repository" data store.</t>
  </si>
  <si>
    <t>Trace the path from "Referring Physician" to the data store "Electronic Health Records Database".</t>
  </si>
  <si>
    <t>Direct Attribute Retrieval</t>
  </si>
  <si>
    <t>Element-to-Threat/Mitigation Relationships</t>
  </si>
  <si>
    <t>Threat-to-Mitigation Mapping</t>
  </si>
  <si>
    <t>Cross-Element and Cross-Case Traversal</t>
  </si>
  <si>
    <t>DFD Diagram Paths</t>
  </si>
  <si>
    <t>Trust Boundaries / Trust Zones</t>
  </si>
  <si>
    <t>Element to Element Path Tracing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</si>
</sst>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Font="1"/>
    <xf numFmtId="2" fontId="0" fillId="2" borderId="0" xfId="0" applyNumberFormat="1" applyFill="1"/>
    <xf numFmtId="2" fontId="0" fillId="0" borderId="0" xfId="0" applyNumberFormat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abSelected="1" workbookViewId="0">
      <selection activeCell="N21" sqref="N21"/>
    </sheetView>
  </sheetViews>
  <sheetFormatPr defaultRowHeight="14.4" x14ac:dyDescent="0.3"/>
  <sheetData>
    <row r="1" spans="1:17" x14ac:dyDescent="0.3">
      <c r="A1" t="s">
        <v>3</v>
      </c>
      <c r="B1" t="s">
        <v>0</v>
      </c>
      <c r="C1" t="s">
        <v>1</v>
      </c>
      <c r="D1" t="s">
        <v>2</v>
      </c>
      <c r="E1" t="s">
        <v>1</v>
      </c>
      <c r="F1" t="s">
        <v>2</v>
      </c>
      <c r="G1" t="s">
        <v>1</v>
      </c>
      <c r="H1" t="s">
        <v>2</v>
      </c>
      <c r="I1" s="1" t="s">
        <v>4</v>
      </c>
      <c r="J1" s="1" t="s">
        <v>5</v>
      </c>
      <c r="N1" t="s">
        <v>3</v>
      </c>
      <c r="O1" t="s">
        <v>6</v>
      </c>
      <c r="P1" t="s">
        <v>4</v>
      </c>
      <c r="Q1" t="s">
        <v>5</v>
      </c>
    </row>
    <row r="2" spans="1:17" x14ac:dyDescent="0.3">
      <c r="A2">
        <v>1</v>
      </c>
      <c r="B2" t="s">
        <v>9</v>
      </c>
      <c r="C2">
        <v>6.5346562862396196</v>
      </c>
      <c r="D2">
        <v>8.3619999999999996E-3</v>
      </c>
      <c r="E2">
        <v>5.5745704174041704</v>
      </c>
      <c r="F2">
        <v>8.3619999999999996E-3</v>
      </c>
      <c r="G2">
        <v>4.9059572219848597</v>
      </c>
      <c r="H2">
        <v>8.3619999999999996E-3</v>
      </c>
      <c r="I2" s="3">
        <f>(C2+E2+G2)/3</f>
        <v>5.6717279752095493</v>
      </c>
      <c r="J2" s="6">
        <f>(D2+F2+H2)/3</f>
        <v>8.3619999999999996E-3</v>
      </c>
      <c r="N2">
        <v>1</v>
      </c>
      <c r="O2" s="2" t="s">
        <v>30</v>
      </c>
      <c r="P2" s="4">
        <f>(I2+I3+I4)/3</f>
        <v>4.0863717661963515</v>
      </c>
      <c r="Q2" s="5">
        <f>(J2+J3+J4)/3</f>
        <v>6.3806666666666664E-3</v>
      </c>
    </row>
    <row r="3" spans="1:17" x14ac:dyDescent="0.3">
      <c r="A3">
        <v>2</v>
      </c>
      <c r="B3" t="s">
        <v>10</v>
      </c>
      <c r="C3">
        <v>4.2727196216583199</v>
      </c>
      <c r="D3">
        <v>5.0439999999999999E-3</v>
      </c>
      <c r="E3">
        <v>3.1828050613403298</v>
      </c>
      <c r="F3">
        <v>5.0439999999999999E-3</v>
      </c>
      <c r="G3">
        <v>2.6343529224395699</v>
      </c>
      <c r="H3">
        <v>5.0439999999999999E-3</v>
      </c>
      <c r="I3" s="3">
        <f t="shared" ref="I3:I22" si="0">(C3+E3+G3)/3</f>
        <v>3.3632925351460732</v>
      </c>
      <c r="J3" s="6">
        <f t="shared" ref="J3:J22" si="1">(D3+F3+H3)/3</f>
        <v>5.0439999999999999E-3</v>
      </c>
      <c r="N3">
        <v>2</v>
      </c>
      <c r="O3" s="2" t="s">
        <v>31</v>
      </c>
      <c r="P3" s="4">
        <f>(I5+I6+I7)/3</f>
        <v>4.4207002586788571</v>
      </c>
      <c r="Q3" s="5">
        <f>(J5+J6+J7)/3</f>
        <v>7.2400000000000008E-3</v>
      </c>
    </row>
    <row r="4" spans="1:17" x14ac:dyDescent="0.3">
      <c r="A4">
        <v>3</v>
      </c>
      <c r="B4" t="s">
        <v>11</v>
      </c>
      <c r="C4">
        <v>4.12957286834716</v>
      </c>
      <c r="D4">
        <v>5.7359999999999998E-3</v>
      </c>
      <c r="E4">
        <v>2.6084957122802699</v>
      </c>
      <c r="F4">
        <v>5.7359999999999998E-3</v>
      </c>
      <c r="G4">
        <v>2.9342157840728702</v>
      </c>
      <c r="H4">
        <v>5.7359999999999998E-3</v>
      </c>
      <c r="I4" s="3">
        <f t="shared" si="0"/>
        <v>3.2240947882334332</v>
      </c>
      <c r="J4" s="6">
        <f t="shared" si="1"/>
        <v>5.7360000000000006E-3</v>
      </c>
      <c r="N4">
        <v>3</v>
      </c>
      <c r="O4" s="2" t="s">
        <v>32</v>
      </c>
      <c r="P4" s="4">
        <f>(I8+I9+I10)/3</f>
        <v>4.3279064231448663</v>
      </c>
      <c r="Q4" s="5">
        <f>(J8+J9+J10)/3</f>
        <v>6.6651111111111104E-3</v>
      </c>
    </row>
    <row r="5" spans="1:17" x14ac:dyDescent="0.3">
      <c r="A5">
        <v>4</v>
      </c>
      <c r="B5" t="s">
        <v>12</v>
      </c>
      <c r="C5">
        <v>4.6021835803985596</v>
      </c>
      <c r="D5">
        <v>6.0759999999999998E-3</v>
      </c>
      <c r="E5">
        <v>3.7343404293060298</v>
      </c>
      <c r="F5">
        <v>6.0759999999999998E-3</v>
      </c>
      <c r="G5">
        <v>3.5087468624114901</v>
      </c>
      <c r="H5">
        <v>6.0759999999999998E-3</v>
      </c>
      <c r="I5" s="3">
        <f t="shared" si="0"/>
        <v>3.9484236240386932</v>
      </c>
      <c r="J5" s="6">
        <f t="shared" si="1"/>
        <v>6.0760000000000007E-3</v>
      </c>
      <c r="N5">
        <v>4</v>
      </c>
      <c r="O5" s="2" t="s">
        <v>33</v>
      </c>
      <c r="P5" s="4">
        <f>(I11+I12+I13)/3</f>
        <v>4.802702771292787</v>
      </c>
      <c r="Q5" s="5">
        <f>(J11+J12+J13)/3</f>
        <v>8.0904444444444452E-3</v>
      </c>
    </row>
    <row r="6" spans="1:17" x14ac:dyDescent="0.3">
      <c r="A6">
        <v>5</v>
      </c>
      <c r="B6" t="s">
        <v>13</v>
      </c>
      <c r="C6">
        <v>5.67663478851318</v>
      </c>
      <c r="D6">
        <v>7.0819999999999998E-3</v>
      </c>
      <c r="E6">
        <v>4.0718622207641602</v>
      </c>
      <c r="F6">
        <v>7.058E-3</v>
      </c>
      <c r="G6">
        <v>3.7407627105712802</v>
      </c>
      <c r="H6">
        <v>7.058E-3</v>
      </c>
      <c r="I6" s="3">
        <f t="shared" si="0"/>
        <v>4.4964199066162065</v>
      </c>
      <c r="J6" s="6">
        <f t="shared" si="1"/>
        <v>7.0660000000000002E-3</v>
      </c>
      <c r="N6">
        <v>5</v>
      </c>
      <c r="O6" s="2" t="s">
        <v>34</v>
      </c>
      <c r="P6" s="4">
        <f>(I14+I15+I16)/3</f>
        <v>3.0182272063361211</v>
      </c>
      <c r="Q6" s="5">
        <f>(J14+J15+J16)/3</f>
        <v>6.8095555555555557E-3</v>
      </c>
    </row>
    <row r="7" spans="1:17" x14ac:dyDescent="0.3">
      <c r="A7">
        <v>6</v>
      </c>
      <c r="B7" t="s">
        <v>14</v>
      </c>
      <c r="C7">
        <v>5.6526231765746999</v>
      </c>
      <c r="D7">
        <v>8.5780000000000006E-3</v>
      </c>
      <c r="E7">
        <v>4.5374381542205802</v>
      </c>
      <c r="F7">
        <v>8.5780000000000006E-3</v>
      </c>
      <c r="G7">
        <v>4.2617104053497297</v>
      </c>
      <c r="H7">
        <v>8.5780000000000006E-3</v>
      </c>
      <c r="I7" s="3">
        <f t="shared" si="0"/>
        <v>4.8172572453816702</v>
      </c>
      <c r="J7" s="6">
        <f t="shared" si="1"/>
        <v>8.5780000000000006E-3</v>
      </c>
      <c r="N7">
        <v>6</v>
      </c>
      <c r="O7" s="2" t="s">
        <v>35</v>
      </c>
      <c r="P7" s="4">
        <f>(I17+I18+I19)/3</f>
        <v>3.0330640210045652</v>
      </c>
      <c r="Q7" s="5">
        <f>(J17+J18+J19)/3</f>
        <v>5.5306666666666664E-3</v>
      </c>
    </row>
    <row r="8" spans="1:17" x14ac:dyDescent="0.3">
      <c r="A8">
        <v>7</v>
      </c>
      <c r="B8" t="s">
        <v>15</v>
      </c>
      <c r="C8">
        <v>4.8509173393249503</v>
      </c>
      <c r="D8">
        <v>6.5199999999999998E-3</v>
      </c>
      <c r="E8">
        <v>4.5618312358856201</v>
      </c>
      <c r="F8">
        <v>6.5199999999999998E-3</v>
      </c>
      <c r="G8">
        <v>4.0962893962860099</v>
      </c>
      <c r="H8">
        <v>6.5120000000000004E-3</v>
      </c>
      <c r="I8" s="3">
        <f t="shared" si="0"/>
        <v>4.5030126571655273</v>
      </c>
      <c r="J8" s="6">
        <f t="shared" si="1"/>
        <v>6.5173333333333333E-3</v>
      </c>
      <c r="N8">
        <v>7</v>
      </c>
      <c r="O8" s="2" t="s">
        <v>36</v>
      </c>
      <c r="P8" s="4">
        <f>(I20+I21+I22)/3</f>
        <v>3.6459529664781303</v>
      </c>
      <c r="Q8" s="5">
        <f>(J20+J21+J22)/3</f>
        <v>7.1142222222222197E-3</v>
      </c>
    </row>
    <row r="9" spans="1:17" x14ac:dyDescent="0.3">
      <c r="A9">
        <v>8</v>
      </c>
      <c r="B9" t="s">
        <v>16</v>
      </c>
      <c r="C9">
        <v>4.8591856956481898</v>
      </c>
      <c r="D9">
        <v>7.6819999999999996E-3</v>
      </c>
      <c r="E9">
        <v>5.6026506423950098</v>
      </c>
      <c r="F9">
        <v>7.6819999999999996E-3</v>
      </c>
      <c r="G9">
        <v>4.6019859313964799</v>
      </c>
      <c r="H9">
        <v>7.6819999999999996E-3</v>
      </c>
      <c r="I9" s="3">
        <f t="shared" si="0"/>
        <v>5.0212740898132262</v>
      </c>
      <c r="J9" s="6">
        <f t="shared" si="1"/>
        <v>7.6819999999999987E-3</v>
      </c>
      <c r="O9" s="2"/>
      <c r="P9" s="4"/>
      <c r="Q9" s="5"/>
    </row>
    <row r="10" spans="1:17" x14ac:dyDescent="0.3">
      <c r="A10">
        <v>9</v>
      </c>
      <c r="B10" t="s">
        <v>17</v>
      </c>
      <c r="C10">
        <v>3.57878446578979</v>
      </c>
      <c r="D10">
        <v>5.7959999999999999E-3</v>
      </c>
      <c r="E10">
        <v>3.9843966960906898</v>
      </c>
      <c r="F10">
        <v>5.7959999999999999E-3</v>
      </c>
      <c r="G10">
        <v>2.8151164054870601</v>
      </c>
      <c r="H10">
        <v>5.7959999999999999E-3</v>
      </c>
      <c r="I10" s="3">
        <f t="shared" si="0"/>
        <v>3.4594325224558466</v>
      </c>
      <c r="J10" s="6">
        <f t="shared" si="1"/>
        <v>5.7959999999999999E-3</v>
      </c>
      <c r="O10" s="2"/>
      <c r="P10" t="s">
        <v>7</v>
      </c>
      <c r="Q10" t="s">
        <v>8</v>
      </c>
    </row>
    <row r="11" spans="1:17" x14ac:dyDescent="0.3">
      <c r="A11">
        <v>10</v>
      </c>
      <c r="B11" t="s">
        <v>18</v>
      </c>
      <c r="C11">
        <v>6.3752367496490399</v>
      </c>
      <c r="D11">
        <v>8.7180000000000001E-3</v>
      </c>
      <c r="E11">
        <v>4.6702315807342503</v>
      </c>
      <c r="F11">
        <v>8.8620000000000001E-3</v>
      </c>
      <c r="G11">
        <v>4.7127411365508998</v>
      </c>
      <c r="H11">
        <v>8.8620000000000001E-3</v>
      </c>
      <c r="I11" s="3">
        <f t="shared" si="0"/>
        <v>5.252736488978063</v>
      </c>
      <c r="J11" s="6">
        <f t="shared" si="1"/>
        <v>8.8140000000000007E-3</v>
      </c>
      <c r="O11" s="2"/>
      <c r="P11" s="4">
        <f>SUM(P2:P8)/7</f>
        <v>3.9049893447330968</v>
      </c>
      <c r="Q11" s="5">
        <f>SUM(Q2:Q8)/7</f>
        <v>6.8329523809523797E-3</v>
      </c>
    </row>
    <row r="12" spans="1:17" x14ac:dyDescent="0.3">
      <c r="A12">
        <v>11</v>
      </c>
      <c r="B12" t="s">
        <v>19</v>
      </c>
      <c r="C12">
        <v>4.9943664073944003</v>
      </c>
      <c r="D12">
        <v>8.0459999999999993E-3</v>
      </c>
      <c r="E12">
        <v>5.7508654594421298</v>
      </c>
      <c r="F12">
        <v>8.038E-3</v>
      </c>
      <c r="G12">
        <v>4.9856531620025599</v>
      </c>
      <c r="H12">
        <v>8.0459999999999993E-3</v>
      </c>
      <c r="I12" s="3">
        <f t="shared" si="0"/>
        <v>5.243628342946363</v>
      </c>
      <c r="J12" s="6">
        <f t="shared" si="1"/>
        <v>8.0433333333333329E-3</v>
      </c>
      <c r="O12" s="2"/>
      <c r="P12" s="4"/>
      <c r="Q12" s="5"/>
    </row>
    <row r="13" spans="1:17" x14ac:dyDescent="0.3">
      <c r="A13">
        <v>12</v>
      </c>
      <c r="B13" t="s">
        <v>20</v>
      </c>
      <c r="C13">
        <v>3.8797378540039</v>
      </c>
      <c r="D13">
        <v>7.4139999999999996E-3</v>
      </c>
      <c r="E13">
        <v>4.0371387004852197</v>
      </c>
      <c r="F13">
        <v>7.4139999999999996E-3</v>
      </c>
      <c r="G13">
        <v>3.8183538913726802</v>
      </c>
      <c r="H13">
        <v>7.4139999999999996E-3</v>
      </c>
      <c r="I13" s="3">
        <f t="shared" si="0"/>
        <v>3.9117434819539336</v>
      </c>
      <c r="J13" s="6">
        <f t="shared" si="1"/>
        <v>7.4139999999999996E-3</v>
      </c>
    </row>
    <row r="14" spans="1:17" x14ac:dyDescent="0.3">
      <c r="A14">
        <v>13</v>
      </c>
      <c r="B14" t="s">
        <v>21</v>
      </c>
      <c r="C14">
        <v>3.6940655708312899</v>
      </c>
      <c r="D14">
        <v>8.4539999999999997E-3</v>
      </c>
      <c r="E14">
        <v>3.5780978202819802</v>
      </c>
      <c r="F14">
        <v>8.4539999999999997E-3</v>
      </c>
      <c r="G14">
        <v>3.5348696708679199</v>
      </c>
      <c r="H14">
        <v>8.4539999999999997E-3</v>
      </c>
      <c r="I14" s="3">
        <f t="shared" si="0"/>
        <v>3.6023443539937303</v>
      </c>
      <c r="J14" s="6">
        <f t="shared" si="1"/>
        <v>8.4539999999999997E-3</v>
      </c>
    </row>
    <row r="15" spans="1:17" x14ac:dyDescent="0.3">
      <c r="A15">
        <v>14</v>
      </c>
      <c r="B15" t="s">
        <v>22</v>
      </c>
      <c r="C15">
        <v>2.92451620101928</v>
      </c>
      <c r="D15">
        <v>6.3740000000000003E-3</v>
      </c>
      <c r="E15">
        <v>2.58799695968627</v>
      </c>
      <c r="F15">
        <v>6.3179999999999998E-3</v>
      </c>
      <c r="G15">
        <v>2.6631102561950599</v>
      </c>
      <c r="H15">
        <v>6.3179999999999998E-3</v>
      </c>
      <c r="I15" s="3">
        <f t="shared" si="0"/>
        <v>2.7252078056335365</v>
      </c>
      <c r="J15" s="6">
        <f t="shared" si="1"/>
        <v>6.3366666666666667E-3</v>
      </c>
      <c r="P15" s="4"/>
      <c r="Q15" s="5"/>
    </row>
    <row r="16" spans="1:17" x14ac:dyDescent="0.3">
      <c r="A16">
        <v>15</v>
      </c>
      <c r="B16" t="s">
        <v>23</v>
      </c>
      <c r="C16">
        <v>2.5317893028259202</v>
      </c>
      <c r="D16">
        <v>5.6379999999999998E-3</v>
      </c>
      <c r="E16">
        <v>2.63330745697021</v>
      </c>
      <c r="F16">
        <v>5.6379999999999998E-3</v>
      </c>
      <c r="G16">
        <v>3.01629161834716</v>
      </c>
      <c r="H16">
        <v>5.6379999999999998E-3</v>
      </c>
      <c r="I16" s="3">
        <f t="shared" si="0"/>
        <v>2.7271294593810964</v>
      </c>
      <c r="J16" s="6">
        <f t="shared" si="1"/>
        <v>5.6379999999999998E-3</v>
      </c>
    </row>
    <row r="17" spans="1:10" x14ac:dyDescent="0.3">
      <c r="A17">
        <v>16</v>
      </c>
      <c r="B17" t="s">
        <v>24</v>
      </c>
      <c r="C17">
        <v>2.5526752471923801</v>
      </c>
      <c r="D17">
        <v>4.4539999999999996E-3</v>
      </c>
      <c r="E17">
        <v>2.3370702266693102</v>
      </c>
      <c r="F17">
        <v>4.4539999999999996E-3</v>
      </c>
      <c r="G17">
        <v>2.7786281108856201</v>
      </c>
      <c r="H17">
        <v>4.4619999999999998E-3</v>
      </c>
      <c r="I17" s="3">
        <f t="shared" si="0"/>
        <v>2.5561245282491036</v>
      </c>
      <c r="J17" s="6">
        <f t="shared" si="1"/>
        <v>4.4566666666666669E-3</v>
      </c>
    </row>
    <row r="18" spans="1:10" x14ac:dyDescent="0.3">
      <c r="A18">
        <v>17</v>
      </c>
      <c r="B18" t="s">
        <v>25</v>
      </c>
      <c r="C18">
        <v>3.0998966693878098</v>
      </c>
      <c r="D18">
        <v>4.4339999999999996E-3</v>
      </c>
      <c r="E18">
        <v>3.09137511253356</v>
      </c>
      <c r="F18">
        <v>4.4339999999999996E-3</v>
      </c>
      <c r="G18">
        <v>2.3899564743041899</v>
      </c>
      <c r="H18">
        <v>4.4339999999999996E-3</v>
      </c>
      <c r="I18" s="3">
        <f t="shared" si="0"/>
        <v>2.8604094187418529</v>
      </c>
      <c r="J18" s="6">
        <f t="shared" si="1"/>
        <v>4.4339999999999996E-3</v>
      </c>
    </row>
    <row r="19" spans="1:10" x14ac:dyDescent="0.3">
      <c r="A19">
        <v>18</v>
      </c>
      <c r="B19" t="s">
        <v>26</v>
      </c>
      <c r="C19">
        <v>4.0971992015838596</v>
      </c>
      <c r="D19">
        <v>7.7039999999999999E-3</v>
      </c>
      <c r="E19">
        <v>3.53083968162536</v>
      </c>
      <c r="F19">
        <v>7.7039999999999999E-3</v>
      </c>
      <c r="G19">
        <v>3.4199354648589999</v>
      </c>
      <c r="H19">
        <v>7.6959999999999997E-3</v>
      </c>
      <c r="I19" s="3">
        <f t="shared" si="0"/>
        <v>3.6826581160227398</v>
      </c>
      <c r="J19" s="6">
        <f t="shared" si="1"/>
        <v>7.7013333333333335E-3</v>
      </c>
    </row>
    <row r="20" spans="1:10" x14ac:dyDescent="0.3">
      <c r="A20">
        <v>19</v>
      </c>
      <c r="B20" t="s">
        <v>27</v>
      </c>
      <c r="C20">
        <v>3.1003751754760698</v>
      </c>
      <c r="D20">
        <v>7.0799999999999899E-3</v>
      </c>
      <c r="E20">
        <v>3.5499968528747501</v>
      </c>
      <c r="F20">
        <v>7.0799999999999899E-3</v>
      </c>
      <c r="G20">
        <v>3.3422544002532901</v>
      </c>
      <c r="H20">
        <v>7.0799999999999899E-3</v>
      </c>
      <c r="I20" s="3">
        <f t="shared" si="0"/>
        <v>3.3308754762013701</v>
      </c>
      <c r="J20" s="6">
        <f t="shared" si="1"/>
        <v>7.0799999999999899E-3</v>
      </c>
    </row>
    <row r="21" spans="1:10" x14ac:dyDescent="0.3">
      <c r="A21">
        <v>20</v>
      </c>
      <c r="B21" t="s">
        <v>28</v>
      </c>
      <c r="C21">
        <v>5.08215284347534</v>
      </c>
      <c r="D21">
        <v>6.6740000000000002E-3</v>
      </c>
      <c r="E21">
        <v>3.2295351028442298</v>
      </c>
      <c r="F21">
        <v>6.6899999999999998E-3</v>
      </c>
      <c r="G21">
        <v>3.0503971576690598</v>
      </c>
      <c r="H21">
        <v>6.6899999999999998E-3</v>
      </c>
      <c r="I21" s="3">
        <f t="shared" si="0"/>
        <v>3.7873617013295431</v>
      </c>
      <c r="J21" s="6">
        <f t="shared" si="1"/>
        <v>6.6846666666666677E-3</v>
      </c>
    </row>
    <row r="22" spans="1:10" x14ac:dyDescent="0.3">
      <c r="A22">
        <v>21</v>
      </c>
      <c r="B22" t="s">
        <v>29</v>
      </c>
      <c r="C22">
        <v>5.0337879657745299</v>
      </c>
      <c r="D22">
        <v>7.6660000000000001E-3</v>
      </c>
      <c r="E22">
        <v>3.2066240310668901</v>
      </c>
      <c r="F22">
        <v>7.5380000000000004E-3</v>
      </c>
      <c r="G22">
        <v>3.2184531688690101</v>
      </c>
      <c r="H22">
        <v>7.5300000000000002E-3</v>
      </c>
      <c r="I22" s="3">
        <f t="shared" si="0"/>
        <v>3.8196217219034767</v>
      </c>
      <c r="J22" s="6">
        <f t="shared" si="1"/>
        <v>7.5780000000000005E-3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2026-03-31T10:05:30Z</dcterms:modified>
</cp:coreProperties>
</file>