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Q11" i="1" l="1"/>
  <c r="P11" i="1"/>
  <c r="Q8" i="1"/>
  <c r="P8" i="1"/>
  <c r="Q7" i="1"/>
  <c r="P7" i="1"/>
  <c r="Q6" i="1"/>
  <c r="P6" i="1"/>
  <c r="Q5" i="1"/>
  <c r="Q4" i="1"/>
  <c r="P5" i="1"/>
  <c r="P4" i="1"/>
  <c r="Q3" i="1"/>
  <c r="P3" i="1"/>
  <c r="Q2" i="1"/>
  <c r="P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J2" i="1"/>
  <c r="I2" i="1"/>
</calcChain>
</file>

<file path=xl/sharedStrings.xml><?xml version="1.0" encoding="utf-8"?>
<sst xmlns="http://schemas.openxmlformats.org/spreadsheetml/2006/main" count="44" uniqueCount="37">
  <si>
    <t>question</t>
  </si>
  <si>
    <t>time</t>
  </si>
  <si>
    <t>cost</t>
  </si>
  <si>
    <t>ID</t>
  </si>
  <si>
    <t>Avg time</t>
  </si>
  <si>
    <t>Avg cost</t>
  </si>
  <si>
    <t>Category</t>
  </si>
  <si>
    <t>Avg time total</t>
  </si>
  <si>
    <t>Avg cost total</t>
  </si>
  <si>
    <t>What is the score and severity of the threat "Patient Data Exfiltration"?</t>
  </si>
  <si>
    <t>What is the severity of the threat "Physician Identity Spoofing"?</t>
  </si>
  <si>
    <t>How long is the regulatory deadline for substance reporting in the case of threat "Controlled Substance Reporting Denial of Service"?</t>
  </si>
  <si>
    <t>What threats is the "Patient" external entity susceptible to?</t>
  </si>
  <si>
    <t>Which threats affect the "Pharmacy Dispensing &amp; Inventory Records", and what are their risk levels?</t>
  </si>
  <si>
    <t>What threats are assigned to the process "Manage Clinical Records", and what is the severity of each?</t>
  </si>
  <si>
    <t>Which mitigations address the threat "Unauthorized Clinical Record Modification"?</t>
  </si>
  <si>
    <t>What mitigations are linked to "Controlled Substance Dispensing Record Deletion", and what are their descriptions?</t>
  </si>
  <si>
    <t>Which single mitigation addresses "Eligibility Process Elevation of Privilege"?</t>
  </si>
  <si>
    <t>Which mitigations address the threats affecting the process "Dispense Medication"?</t>
  </si>
  <si>
    <t>Which mitigations address the threats affecting the data store "Insurance Claims Repository"?</t>
  </si>
  <si>
    <t>What threats is the "Electronic Health Records Database" data store susceptible to across all cases?</t>
  </si>
  <si>
    <t>What process takes as input the data flow outputted by process "Patient Registration Gateway" and what is the name of the data flow?</t>
  </si>
  <si>
    <t>What processes take as input the data flows provided by data store "Electronic Health Records Database"?</t>
  </si>
  <si>
    <t>What data stores store data flows outputted by the process "Dispense Medication"?</t>
  </si>
  <si>
    <t>Which data flows cross the "Hospital Perimeter Network" trust boundary?</t>
  </si>
  <si>
    <t>Which data flows cross the "Pharmacy Application Zone" trust boundary?</t>
  </si>
  <si>
    <t>In which trust zone do process "Receive &amp; Validate Prescription" and data store "Insurance Claims Repository" reside in?</t>
  </si>
  <si>
    <t>Trace the path from "Prescribing Physician" to the data store "Clinical Audit Trail".</t>
  </si>
  <si>
    <t>Trace the path from "Patient" to the "Insurance Claims Repository" data store.</t>
  </si>
  <si>
    <t>Trace the path from "Referring Physician" to the data store "Electronic Health Records Database".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</si>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</sst>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ont="1"/>
    <xf numFmtId="2" fontId="0" fillId="2" borderId="0" xfId="0" applyNumberFormat="1" applyFill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workbookViewId="0">
      <selection activeCell="Q11" sqref="Q11"/>
    </sheetView>
  </sheetViews>
  <sheetFormatPr defaultRowHeight="14.4" x14ac:dyDescent="0.3"/>
  <sheetData>
    <row r="1" spans="1:17" x14ac:dyDescent="0.3">
      <c r="A1" t="s">
        <v>3</v>
      </c>
      <c r="B1" t="s">
        <v>0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s="1" t="s">
        <v>4</v>
      </c>
      <c r="J1" s="1" t="s">
        <v>5</v>
      </c>
      <c r="N1" t="s">
        <v>3</v>
      </c>
      <c r="O1" t="s">
        <v>6</v>
      </c>
      <c r="P1" t="s">
        <v>4</v>
      </c>
      <c r="Q1" t="s">
        <v>5</v>
      </c>
    </row>
    <row r="2" spans="1:17" x14ac:dyDescent="0.3">
      <c r="A2">
        <v>1</v>
      </c>
      <c r="B2" t="s">
        <v>9</v>
      </c>
      <c r="C2">
        <v>6.0054748058319003</v>
      </c>
      <c r="D2">
        <v>2.6165999999999998E-2</v>
      </c>
      <c r="E2">
        <v>5.0441696643829301</v>
      </c>
      <c r="F2">
        <v>2.6165999999999998E-2</v>
      </c>
      <c r="G2">
        <v>5.5169441699981601</v>
      </c>
      <c r="H2">
        <v>2.6173999999999999E-2</v>
      </c>
      <c r="I2" s="3">
        <f>(C2+E2+G2)/3</f>
        <v>5.5221962134043308</v>
      </c>
      <c r="J2" s="6">
        <f>(D2+F2+H2)/3</f>
        <v>2.6168666666666663E-2</v>
      </c>
      <c r="N2">
        <v>1</v>
      </c>
      <c r="O2" s="2" t="s">
        <v>30</v>
      </c>
      <c r="P2" s="4">
        <f>(I2+I3+I4)/3</f>
        <v>4.1281438933478407</v>
      </c>
      <c r="Q2" s="5">
        <f>(J2+J3+J4)/3</f>
        <v>1.8617333333333329E-2</v>
      </c>
    </row>
    <row r="3" spans="1:17" x14ac:dyDescent="0.3">
      <c r="A3">
        <v>2</v>
      </c>
      <c r="B3" t="s">
        <v>10</v>
      </c>
      <c r="C3">
        <v>2.8636934757232599</v>
      </c>
      <c r="D3">
        <v>1.4999999999999999E-2</v>
      </c>
      <c r="E3">
        <v>5.43814897537231</v>
      </c>
      <c r="F3">
        <v>1.4999999999999999E-2</v>
      </c>
      <c r="G3">
        <v>2.8253285884857098</v>
      </c>
      <c r="H3">
        <v>1.4999999999999999E-2</v>
      </c>
      <c r="I3" s="3">
        <f t="shared" ref="I3:I22" si="0">(C3+E3+G3)/3</f>
        <v>3.7090570131937604</v>
      </c>
      <c r="J3" s="6">
        <f t="shared" ref="J3:J22" si="1">(D3+F3+H3)/3</f>
        <v>1.4999999999999999E-2</v>
      </c>
      <c r="N3">
        <v>2</v>
      </c>
      <c r="O3" s="2" t="s">
        <v>31</v>
      </c>
      <c r="P3" s="4">
        <f>(I5+I6+I7)/3</f>
        <v>3.6599589718712635</v>
      </c>
      <c r="Q3" s="5">
        <f>(J5+J6+J7)/3</f>
        <v>2.0741111111111109E-2</v>
      </c>
    </row>
    <row r="4" spans="1:17" x14ac:dyDescent="0.3">
      <c r="A4">
        <v>3</v>
      </c>
      <c r="B4" t="s">
        <v>11</v>
      </c>
      <c r="C4">
        <v>3.23316025733947</v>
      </c>
      <c r="D4">
        <v>1.4678E-2</v>
      </c>
      <c r="E4">
        <v>4.5392761230468697</v>
      </c>
      <c r="F4">
        <v>1.4685999999999999E-2</v>
      </c>
      <c r="G4">
        <v>1.6870989799499501</v>
      </c>
      <c r="H4">
        <v>1.4685999999999999E-2</v>
      </c>
      <c r="I4" s="3">
        <f t="shared" si="0"/>
        <v>3.1531784534454297</v>
      </c>
      <c r="J4" s="6">
        <f t="shared" si="1"/>
        <v>1.4683333333333333E-2</v>
      </c>
      <c r="N4">
        <v>3</v>
      </c>
      <c r="O4" s="2" t="s">
        <v>32</v>
      </c>
      <c r="P4" s="4">
        <f>(I8+I9+I10)/3</f>
        <v>3.4056072764926433</v>
      </c>
      <c r="Q4" s="5">
        <f>(J8+J9+J10)/3</f>
        <v>1.9451555555555521E-2</v>
      </c>
    </row>
    <row r="5" spans="1:17" x14ac:dyDescent="0.3">
      <c r="A5">
        <v>4</v>
      </c>
      <c r="B5" t="s">
        <v>12</v>
      </c>
      <c r="C5">
        <v>2.9660353660583398</v>
      </c>
      <c r="D5">
        <v>1.2442E-2</v>
      </c>
      <c r="E5">
        <v>3.9142832756042401</v>
      </c>
      <c r="F5">
        <v>1.2442E-2</v>
      </c>
      <c r="G5">
        <v>1.95319604873657</v>
      </c>
      <c r="H5">
        <v>1.2442E-2</v>
      </c>
      <c r="I5" s="3">
        <f t="shared" si="0"/>
        <v>2.9445048967997169</v>
      </c>
      <c r="J5" s="6">
        <f t="shared" si="1"/>
        <v>1.2442E-2</v>
      </c>
      <c r="N5">
        <v>4</v>
      </c>
      <c r="O5" s="2" t="s">
        <v>33</v>
      </c>
      <c r="P5" s="4">
        <f>(I11+I12+I13)/3</f>
        <v>3.9950791200002</v>
      </c>
      <c r="Q5" s="5">
        <f>(J11+J12+J13)/3</f>
        <v>2.3268888888888877E-2</v>
      </c>
    </row>
    <row r="6" spans="1:17" x14ac:dyDescent="0.3">
      <c r="A6">
        <v>5</v>
      </c>
      <c r="B6" t="s">
        <v>13</v>
      </c>
      <c r="C6">
        <v>3.7861251831054599</v>
      </c>
      <c r="D6">
        <v>2.307E-2</v>
      </c>
      <c r="E6">
        <v>5.01075911521911</v>
      </c>
      <c r="F6">
        <v>2.307E-2</v>
      </c>
      <c r="G6">
        <v>3.3629083633422798</v>
      </c>
      <c r="H6">
        <v>2.307E-2</v>
      </c>
      <c r="I6" s="3">
        <f t="shared" si="0"/>
        <v>4.0532642205556169</v>
      </c>
      <c r="J6" s="6">
        <f t="shared" si="1"/>
        <v>2.3069999999999997E-2</v>
      </c>
      <c r="N6">
        <v>5</v>
      </c>
      <c r="O6" s="2" t="s">
        <v>34</v>
      </c>
      <c r="P6" s="4">
        <f>(I14+I15+I16)/3</f>
        <v>3.0386724472045845</v>
      </c>
      <c r="Q6" s="5">
        <f>(J14+J15+J16)/3</f>
        <v>2.0899555555555543E-2</v>
      </c>
    </row>
    <row r="7" spans="1:17" x14ac:dyDescent="0.3">
      <c r="A7">
        <v>6</v>
      </c>
      <c r="B7" t="s">
        <v>14</v>
      </c>
      <c r="C7">
        <v>4.46128153800964</v>
      </c>
      <c r="D7">
        <v>2.6721999999999999E-2</v>
      </c>
      <c r="E7">
        <v>4.3931543827056796</v>
      </c>
      <c r="F7">
        <v>2.6689999999999998E-2</v>
      </c>
      <c r="G7">
        <v>3.0918874740600502</v>
      </c>
      <c r="H7">
        <v>2.6721999999999999E-2</v>
      </c>
      <c r="I7" s="3">
        <f t="shared" si="0"/>
        <v>3.9821077982584563</v>
      </c>
      <c r="J7" s="6">
        <f t="shared" si="1"/>
        <v>2.6711333333333333E-2</v>
      </c>
      <c r="N7">
        <v>6</v>
      </c>
      <c r="O7" s="2" t="s">
        <v>35</v>
      </c>
      <c r="P7" s="4">
        <f>(I17+I18+I19)/3</f>
        <v>3.2163584762149333</v>
      </c>
      <c r="Q7" s="5">
        <f>(J17+J18+J19)/3</f>
        <v>1.6642222222222221E-2</v>
      </c>
    </row>
    <row r="8" spans="1:17" x14ac:dyDescent="0.3">
      <c r="A8">
        <v>7</v>
      </c>
      <c r="B8" t="s">
        <v>15</v>
      </c>
      <c r="C8">
        <v>3.5466127395629798</v>
      </c>
      <c r="D8">
        <v>1.5394E-2</v>
      </c>
      <c r="E8">
        <v>2.8161101341247501</v>
      </c>
      <c r="F8">
        <v>1.5394E-2</v>
      </c>
      <c r="G8">
        <v>1.81864285469055</v>
      </c>
      <c r="H8">
        <v>1.5402000000000001E-2</v>
      </c>
      <c r="I8" s="3">
        <f t="shared" si="0"/>
        <v>2.7271219094594268</v>
      </c>
      <c r="J8" s="6">
        <f t="shared" si="1"/>
        <v>1.5396666666666668E-2</v>
      </c>
      <c r="N8">
        <v>7</v>
      </c>
      <c r="O8" s="2" t="s">
        <v>36</v>
      </c>
      <c r="P8" s="4">
        <f>(I20+I21+I22)/3</f>
        <v>3.4950763649410628</v>
      </c>
      <c r="Q8" s="5">
        <f>(J20+J21+J22)/3</f>
        <v>2.4740000000000002E-2</v>
      </c>
    </row>
    <row r="9" spans="1:17" x14ac:dyDescent="0.3">
      <c r="A9">
        <v>8</v>
      </c>
      <c r="B9" t="s">
        <v>16</v>
      </c>
      <c r="C9">
        <v>5.3752284049987704</v>
      </c>
      <c r="D9">
        <v>2.87979999999999E-2</v>
      </c>
      <c r="E9">
        <v>5.13960480690002</v>
      </c>
      <c r="F9">
        <v>2.87979999999999E-2</v>
      </c>
      <c r="G9">
        <v>3.0230736732482901</v>
      </c>
      <c r="H9">
        <v>2.87979999999999E-2</v>
      </c>
      <c r="I9" s="3">
        <f t="shared" si="0"/>
        <v>4.5126356283823599</v>
      </c>
      <c r="J9" s="6">
        <f t="shared" si="1"/>
        <v>2.8797999999999897E-2</v>
      </c>
      <c r="O9" s="2"/>
      <c r="P9" s="4"/>
      <c r="Q9" s="5"/>
    </row>
    <row r="10" spans="1:17" x14ac:dyDescent="0.3">
      <c r="A10">
        <v>9</v>
      </c>
      <c r="B10" t="s">
        <v>17</v>
      </c>
      <c r="C10">
        <v>2.5825889110565101</v>
      </c>
      <c r="D10">
        <v>1.4160000000000001E-2</v>
      </c>
      <c r="E10">
        <v>4.4979770183563197</v>
      </c>
      <c r="F10">
        <v>1.4160000000000001E-2</v>
      </c>
      <c r="G10">
        <v>1.8506269454955999</v>
      </c>
      <c r="H10">
        <v>1.4160000000000001E-2</v>
      </c>
      <c r="I10" s="3">
        <f t="shared" si="0"/>
        <v>2.9770642916361432</v>
      </c>
      <c r="J10" s="6">
        <f t="shared" si="1"/>
        <v>1.4160000000000001E-2</v>
      </c>
      <c r="O10" s="2"/>
      <c r="P10" t="s">
        <v>7</v>
      </c>
      <c r="Q10" t="s">
        <v>8</v>
      </c>
    </row>
    <row r="11" spans="1:17" x14ac:dyDescent="0.3">
      <c r="A11">
        <v>10</v>
      </c>
      <c r="B11" t="s">
        <v>18</v>
      </c>
      <c r="C11">
        <v>4.0104534626007</v>
      </c>
      <c r="D11">
        <v>2.7245999999999999E-2</v>
      </c>
      <c r="E11">
        <v>5.1619818210601798</v>
      </c>
      <c r="F11">
        <v>2.7286000000000001E-2</v>
      </c>
      <c r="G11">
        <v>3.9157466888427699</v>
      </c>
      <c r="H11">
        <v>2.7293999999999999E-2</v>
      </c>
      <c r="I11" s="3">
        <f t="shared" si="0"/>
        <v>4.3627273241678832</v>
      </c>
      <c r="J11" s="6">
        <f t="shared" si="1"/>
        <v>2.7275333333333332E-2</v>
      </c>
      <c r="O11" s="2"/>
      <c r="P11" s="4">
        <f>SUM(P2:P8)/7</f>
        <v>3.5626995071532184</v>
      </c>
      <c r="Q11" s="5">
        <f>SUM(Q2:Q8)/7</f>
        <v>2.0622952380952374E-2</v>
      </c>
    </row>
    <row r="12" spans="1:17" x14ac:dyDescent="0.3">
      <c r="A12">
        <v>11</v>
      </c>
      <c r="B12" t="s">
        <v>19</v>
      </c>
      <c r="C12">
        <v>6.0401530265808097</v>
      </c>
      <c r="D12">
        <v>2.3765999999999999E-2</v>
      </c>
      <c r="E12">
        <v>4.5647544860839799</v>
      </c>
      <c r="F12">
        <v>2.3949999999999999E-2</v>
      </c>
      <c r="G12">
        <v>2.7938039302825901</v>
      </c>
      <c r="H12">
        <v>2.3861999999999901E-2</v>
      </c>
      <c r="I12" s="3">
        <f t="shared" si="0"/>
        <v>4.4662371476491272</v>
      </c>
      <c r="J12" s="6">
        <f t="shared" si="1"/>
        <v>2.3859333333333298E-2</v>
      </c>
      <c r="O12" s="2"/>
      <c r="P12" s="4"/>
      <c r="Q12" s="5"/>
    </row>
    <row r="13" spans="1:17" x14ac:dyDescent="0.3">
      <c r="A13">
        <v>12</v>
      </c>
      <c r="B13" t="s">
        <v>20</v>
      </c>
      <c r="C13">
        <v>3.3996169567108101</v>
      </c>
      <c r="D13">
        <v>1.8655999999999999E-2</v>
      </c>
      <c r="E13">
        <v>4.1136815547943097</v>
      </c>
      <c r="F13">
        <v>1.8703999999999998E-2</v>
      </c>
      <c r="G13">
        <v>1.9555201530456501</v>
      </c>
      <c r="H13">
        <v>1.8655999999999999E-2</v>
      </c>
      <c r="I13" s="3">
        <f t="shared" si="0"/>
        <v>3.1562728881835902</v>
      </c>
      <c r="J13" s="6">
        <f t="shared" si="1"/>
        <v>1.8671999999999998E-2</v>
      </c>
    </row>
    <row r="14" spans="1:17" x14ac:dyDescent="0.3">
      <c r="A14">
        <v>13</v>
      </c>
      <c r="B14" t="s">
        <v>21</v>
      </c>
      <c r="C14">
        <v>3.74667763710021</v>
      </c>
      <c r="D14">
        <v>2.8829999999999901E-2</v>
      </c>
      <c r="E14">
        <v>3.7863886356353702</v>
      </c>
      <c r="F14">
        <v>2.8822E-2</v>
      </c>
      <c r="G14">
        <v>2.7176740169525102</v>
      </c>
      <c r="H14">
        <v>2.8837999999999999E-2</v>
      </c>
      <c r="I14" s="3">
        <f t="shared" si="0"/>
        <v>3.4169134298960295</v>
      </c>
      <c r="J14" s="6">
        <f t="shared" si="1"/>
        <v>2.8829999999999967E-2</v>
      </c>
    </row>
    <row r="15" spans="1:17" x14ac:dyDescent="0.3">
      <c r="A15">
        <v>14</v>
      </c>
      <c r="B15" t="s">
        <v>22</v>
      </c>
      <c r="C15">
        <v>3.5251035690307599</v>
      </c>
      <c r="D15">
        <v>1.8711999999999999E-2</v>
      </c>
      <c r="E15">
        <v>2.9258012771606401</v>
      </c>
      <c r="F15">
        <v>1.8544000000000001E-2</v>
      </c>
      <c r="G15">
        <v>2.0611228942871</v>
      </c>
      <c r="H15">
        <v>1.8703999999999998E-2</v>
      </c>
      <c r="I15" s="3">
        <f t="shared" si="0"/>
        <v>2.8373425801595</v>
      </c>
      <c r="J15" s="6">
        <f t="shared" si="1"/>
        <v>1.8653333333333331E-2</v>
      </c>
      <c r="P15" s="4"/>
      <c r="Q15" s="5"/>
    </row>
    <row r="16" spans="1:17" x14ac:dyDescent="0.3">
      <c r="A16">
        <v>15</v>
      </c>
      <c r="B16" t="s">
        <v>23</v>
      </c>
      <c r="C16">
        <v>3.0526111125946001</v>
      </c>
      <c r="D16">
        <v>1.5178000000000001E-2</v>
      </c>
      <c r="E16">
        <v>3.7565777301788299</v>
      </c>
      <c r="F16">
        <v>1.5154000000000001E-2</v>
      </c>
      <c r="G16">
        <v>1.77609515190124</v>
      </c>
      <c r="H16">
        <v>1.5313999999999999E-2</v>
      </c>
      <c r="I16" s="3">
        <f t="shared" si="0"/>
        <v>2.8617613315582235</v>
      </c>
      <c r="J16" s="6">
        <f t="shared" si="1"/>
        <v>1.5215333333333332E-2</v>
      </c>
    </row>
    <row r="17" spans="1:10" x14ac:dyDescent="0.3">
      <c r="A17">
        <v>16</v>
      </c>
      <c r="B17" t="s">
        <v>24</v>
      </c>
      <c r="C17">
        <v>3.1104545593261701</v>
      </c>
      <c r="D17">
        <v>1.2104E-2</v>
      </c>
      <c r="E17">
        <v>4.6230132579803396</v>
      </c>
      <c r="F17">
        <v>1.2144E-2</v>
      </c>
      <c r="G17">
        <v>1.969083070755</v>
      </c>
      <c r="H17">
        <v>1.2144E-2</v>
      </c>
      <c r="I17" s="3">
        <f t="shared" si="0"/>
        <v>3.2341836293538364</v>
      </c>
      <c r="J17" s="6">
        <f t="shared" si="1"/>
        <v>1.2130666666666666E-2</v>
      </c>
    </row>
    <row r="18" spans="1:10" x14ac:dyDescent="0.3">
      <c r="A18">
        <v>17</v>
      </c>
      <c r="B18" t="s">
        <v>25</v>
      </c>
      <c r="C18">
        <v>3.1347949504852202</v>
      </c>
      <c r="D18">
        <v>1.2624E-2</v>
      </c>
      <c r="E18">
        <v>4.15569972991943</v>
      </c>
      <c r="F18">
        <v>1.2624E-2</v>
      </c>
      <c r="G18">
        <v>1.94072318077087</v>
      </c>
      <c r="H18">
        <v>1.2624E-2</v>
      </c>
      <c r="I18" s="3">
        <f t="shared" si="0"/>
        <v>3.0770726203918404</v>
      </c>
      <c r="J18" s="6">
        <f t="shared" si="1"/>
        <v>1.2624000000000002E-2</v>
      </c>
    </row>
    <row r="19" spans="1:10" x14ac:dyDescent="0.3">
      <c r="A19">
        <v>18</v>
      </c>
      <c r="B19" t="s">
        <v>26</v>
      </c>
      <c r="C19">
        <v>3.7361557483672998</v>
      </c>
      <c r="D19">
        <v>2.5172E-2</v>
      </c>
      <c r="E19">
        <v>3.7450718879699698</v>
      </c>
      <c r="F19">
        <v>2.5172E-2</v>
      </c>
      <c r="G19">
        <v>2.5322299003600999</v>
      </c>
      <c r="H19">
        <v>2.5172E-2</v>
      </c>
      <c r="I19" s="3">
        <f t="shared" si="0"/>
        <v>3.3378191788991232</v>
      </c>
      <c r="J19" s="6">
        <f t="shared" si="1"/>
        <v>2.5172E-2</v>
      </c>
    </row>
    <row r="20" spans="1:10" x14ac:dyDescent="0.3">
      <c r="A20">
        <v>19</v>
      </c>
      <c r="B20" t="s">
        <v>27</v>
      </c>
      <c r="C20">
        <v>4.2653932571411097</v>
      </c>
      <c r="D20">
        <v>2.5422E-2</v>
      </c>
      <c r="E20">
        <v>4.8621494770050004</v>
      </c>
      <c r="F20">
        <v>2.6197999999999999E-2</v>
      </c>
      <c r="G20">
        <v>2.4998383522033598</v>
      </c>
      <c r="H20">
        <v>2.5398E-2</v>
      </c>
      <c r="I20" s="3">
        <f t="shared" si="0"/>
        <v>3.8757936954498238</v>
      </c>
      <c r="J20" s="6">
        <f t="shared" si="1"/>
        <v>2.5672666666666667E-2</v>
      </c>
    </row>
    <row r="21" spans="1:10" x14ac:dyDescent="0.3">
      <c r="A21">
        <v>20</v>
      </c>
      <c r="B21" t="s">
        <v>28</v>
      </c>
      <c r="C21">
        <v>4.2752883434295601</v>
      </c>
      <c r="D21">
        <v>2.2336000000000002E-2</v>
      </c>
      <c r="E21">
        <v>3.5278017520904501</v>
      </c>
      <c r="F21">
        <v>2.2016000000000001E-2</v>
      </c>
      <c r="G21">
        <v>2.07227230072021</v>
      </c>
      <c r="H21">
        <v>2.1968000000000001E-2</v>
      </c>
      <c r="I21" s="3">
        <f t="shared" si="0"/>
        <v>3.2917874654134067</v>
      </c>
      <c r="J21" s="6">
        <f t="shared" si="1"/>
        <v>2.2106666666666667E-2</v>
      </c>
    </row>
    <row r="22" spans="1:10" x14ac:dyDescent="0.3">
      <c r="A22">
        <v>21</v>
      </c>
      <c r="B22" t="s">
        <v>29</v>
      </c>
      <c r="C22">
        <v>3.8922352790832502</v>
      </c>
      <c r="D22">
        <v>2.6446000000000001E-2</v>
      </c>
      <c r="E22">
        <v>3.6771838665008501</v>
      </c>
      <c r="F22">
        <v>2.6334E-2</v>
      </c>
      <c r="G22">
        <v>2.3835246562957701</v>
      </c>
      <c r="H22">
        <v>2.6542E-2</v>
      </c>
      <c r="I22" s="3">
        <f t="shared" si="0"/>
        <v>3.3176479339599569</v>
      </c>
      <c r="J22" s="6">
        <f t="shared" si="1"/>
        <v>2.6440666666666668E-2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2026-03-30T18:50:00Z</dcterms:modified>
</cp:coreProperties>
</file>