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Final" sheetId="2" r:id="rId1"/>
    <sheet name="Sheet1" sheetId="1" r:id="rId2"/>
  </sheets>
  <calcPr calcId="152511"/>
</workbook>
</file>

<file path=xl/calcChain.xml><?xml version="1.0" encoding="utf-8"?>
<calcChain xmlns="http://schemas.openxmlformats.org/spreadsheetml/2006/main">
  <c r="O8" i="2" l="1"/>
  <c r="P8" i="2"/>
  <c r="Q8" i="2"/>
  <c r="R8" i="2"/>
  <c r="S8" i="2"/>
  <c r="N8" i="2"/>
  <c r="O7" i="2"/>
  <c r="P7" i="2"/>
  <c r="Q7" i="2"/>
  <c r="R7" i="2"/>
  <c r="S7" i="2"/>
  <c r="N7" i="2"/>
  <c r="O6" i="2"/>
  <c r="P6" i="2"/>
  <c r="Q6" i="2"/>
  <c r="R6" i="2"/>
  <c r="S6" i="2"/>
  <c r="N6" i="2"/>
  <c r="P5" i="2"/>
  <c r="O5" i="2"/>
  <c r="Q5" i="2"/>
  <c r="R5" i="2"/>
  <c r="S5" i="2"/>
  <c r="N5" i="2"/>
  <c r="O4" i="2"/>
  <c r="P4" i="2"/>
  <c r="Q4" i="2"/>
  <c r="R4" i="2"/>
  <c r="S4" i="2"/>
  <c r="N4" i="2"/>
  <c r="O3" i="2"/>
  <c r="P3" i="2"/>
  <c r="Q3" i="2"/>
  <c r="R3" i="2"/>
  <c r="S3" i="2"/>
  <c r="N3" i="2"/>
  <c r="O2" i="2"/>
  <c r="O11" i="2" s="1"/>
  <c r="P2" i="2"/>
  <c r="P11" i="2" s="1"/>
  <c r="Q2" i="2"/>
  <c r="Q11" i="2" s="1"/>
  <c r="R2" i="2"/>
  <c r="R11" i="2" s="1"/>
  <c r="S2" i="2"/>
  <c r="S11" i="2" s="1"/>
  <c r="N2" i="2"/>
  <c r="Z22" i="1"/>
  <c r="Y22" i="1"/>
  <c r="X22" i="1"/>
  <c r="W22" i="1"/>
  <c r="Z21" i="1"/>
  <c r="Y21" i="1"/>
  <c r="X21" i="1"/>
  <c r="W21" i="1"/>
  <c r="Z20" i="1"/>
  <c r="Y20" i="1"/>
  <c r="X20" i="1"/>
  <c r="W20" i="1"/>
  <c r="Z19" i="1"/>
  <c r="Y19" i="1"/>
  <c r="X19" i="1"/>
  <c r="W19" i="1"/>
  <c r="Z18" i="1"/>
  <c r="Y18" i="1"/>
  <c r="X18" i="1"/>
  <c r="W18" i="1"/>
  <c r="Z17" i="1"/>
  <c r="Y17" i="1"/>
  <c r="X17" i="1"/>
  <c r="W17" i="1"/>
  <c r="Z16" i="1"/>
  <c r="Y16" i="1"/>
  <c r="X16" i="1"/>
  <c r="W16" i="1"/>
  <c r="Z15" i="1"/>
  <c r="Y15" i="1"/>
  <c r="X15" i="1"/>
  <c r="W15" i="1"/>
  <c r="Z14" i="1"/>
  <c r="Y14" i="1"/>
  <c r="X14" i="1"/>
  <c r="W14" i="1"/>
  <c r="Z13" i="1"/>
  <c r="Y13" i="1"/>
  <c r="X13" i="1"/>
  <c r="W13" i="1"/>
  <c r="Z12" i="1"/>
  <c r="Y12" i="1"/>
  <c r="X12" i="1"/>
  <c r="W12" i="1"/>
  <c r="Z11" i="1"/>
  <c r="Y11" i="1"/>
  <c r="X11" i="1"/>
  <c r="W11" i="1"/>
  <c r="Z10" i="1"/>
  <c r="Y10" i="1"/>
  <c r="X10" i="1"/>
  <c r="W10" i="1"/>
  <c r="Z9" i="1"/>
  <c r="Y9" i="1"/>
  <c r="X9" i="1"/>
  <c r="W9" i="1"/>
  <c r="Z8" i="1"/>
  <c r="Y8" i="1"/>
  <c r="X8" i="1"/>
  <c r="W8" i="1"/>
  <c r="Z7" i="1"/>
  <c r="Y7" i="1"/>
  <c r="X7" i="1"/>
  <c r="W7" i="1"/>
  <c r="Z6" i="1"/>
  <c r="Y6" i="1"/>
  <c r="X6" i="1"/>
  <c r="W6" i="1"/>
  <c r="Z5" i="1"/>
  <c r="Y5" i="1"/>
  <c r="X5" i="1"/>
  <c r="W5" i="1"/>
  <c r="Z4" i="1"/>
  <c r="Y4" i="1"/>
  <c r="X4" i="1"/>
  <c r="W4" i="1"/>
  <c r="Z3" i="1"/>
  <c r="Y3" i="1"/>
  <c r="X3" i="1"/>
  <c r="W3" i="1"/>
  <c r="Z2" i="1"/>
  <c r="Y2" i="1"/>
  <c r="X2" i="1"/>
  <c r="W2" i="1"/>
  <c r="S2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AA15" i="1" s="1"/>
  <c r="L16" i="1"/>
  <c r="L17" i="1"/>
  <c r="L18" i="1"/>
  <c r="L19" i="1"/>
  <c r="L20" i="1"/>
  <c r="L21" i="1"/>
  <c r="L22" i="1"/>
  <c r="L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  <c r="N11" i="2" l="1"/>
  <c r="AA3" i="1"/>
  <c r="AB13" i="1"/>
  <c r="AA21" i="1"/>
  <c r="AA9" i="1"/>
  <c r="AA14" i="1"/>
  <c r="AB2" i="1"/>
  <c r="AA13" i="1"/>
  <c r="AB10" i="1"/>
  <c r="AA12" i="1"/>
  <c r="AB21" i="1"/>
  <c r="AB9" i="1"/>
  <c r="AA2" i="1"/>
  <c r="AA11" i="1"/>
  <c r="AB20" i="1"/>
  <c r="AB8" i="1"/>
  <c r="AB11" i="1"/>
  <c r="AB22" i="1"/>
  <c r="AA16" i="1"/>
  <c r="AA4" i="1"/>
  <c r="AB12" i="1"/>
  <c r="AA22" i="1"/>
  <c r="AB19" i="1"/>
  <c r="AB18" i="1"/>
  <c r="AB6" i="1"/>
  <c r="AA10" i="1"/>
  <c r="AB7" i="1"/>
  <c r="AA20" i="1"/>
  <c r="AA8" i="1"/>
  <c r="AB17" i="1"/>
  <c r="AB5" i="1"/>
  <c r="AA19" i="1"/>
  <c r="AA7" i="1"/>
  <c r="AB16" i="1"/>
  <c r="AB4" i="1"/>
  <c r="AA18" i="1"/>
  <c r="AA6" i="1"/>
  <c r="AB15" i="1"/>
  <c r="AB3" i="1"/>
  <c r="AA17" i="1"/>
  <c r="AA5" i="1"/>
  <c r="AB14" i="1"/>
</calcChain>
</file>

<file path=xl/sharedStrings.xml><?xml version="1.0" encoding="utf-8"?>
<sst xmlns="http://schemas.openxmlformats.org/spreadsheetml/2006/main" count="113" uniqueCount="38">
  <si>
    <t>user_input</t>
  </si>
  <si>
    <t>faithfulness</t>
  </si>
  <si>
    <t>answer_relevancy</t>
  </si>
  <si>
    <t>context_recall</t>
  </si>
  <si>
    <t>context_precision</t>
  </si>
  <si>
    <t>What is the score and severity of the threat "Patient Data Exfiltration"?</t>
  </si>
  <si>
    <t>What is the severity of the threat "Physician Identity Spoofing"?</t>
  </si>
  <si>
    <t>How long is the regulatory deadline for substance reporting in the case of threat "Controlled Substance Reporting Denial of Service"?</t>
  </si>
  <si>
    <t>What threats is the "Patient" external entity susceptible to?</t>
  </si>
  <si>
    <t>Which threats affect the "Pharmacy Dispensing &amp; Inventory Records", and what are their risk levels?</t>
  </si>
  <si>
    <t>What threats are assigned to the process "Manage Clinical Records", and what is the severity of each?</t>
  </si>
  <si>
    <t>Which mitigations address the threat "Unauthorized Clinical Record Modification"?</t>
  </si>
  <si>
    <t>What mitigations are linked to "Controlled Substance Dispensing Record Deletion", and what are their descriptions?</t>
  </si>
  <si>
    <t>Which single mitigation addresses "Eligibility Process Elevation of Privilege"?</t>
  </si>
  <si>
    <t>Which mitigations address the threats affecting the process "Dispense Medication"?</t>
  </si>
  <si>
    <t>Which mitigations address the threats affecting the data store "Insurance Claims Repository"?</t>
  </si>
  <si>
    <t>What threats is the "Electronic Health Records Database" data store susceptible to across all cases?</t>
  </si>
  <si>
    <t>What process takes as input the data flow outputted by process "Patient Registration Gateway" and what is the name of the data flow?</t>
  </si>
  <si>
    <t>What processes take as input the data flows provided by data store "Electronic Health Records Database"?</t>
  </si>
  <si>
    <t>What data stores store data flows outputted by the process "Dispense Medication"?</t>
  </si>
  <si>
    <t>Which data flows cross the "Hospital Perimeter Network" trust boundary?</t>
  </si>
  <si>
    <t>Which data flows cross the "Pharmacy Application Zone" trust boundary?</t>
  </si>
  <si>
    <t>In which trust zone do process "Receive &amp; Validate Prescription" and data store "Insurance Claims Repository" reside in?</t>
  </si>
  <si>
    <t>Trace the path from "Prescribing Physician" to the data store "Clinical Audit Trail".</t>
  </si>
  <si>
    <t>Trace the path from "Patient" to the "Insurance Claims Repository" data store.</t>
  </si>
  <si>
    <t>Trace the path from "Referring Physician" to the data store "Electronic Health Records Database".</t>
  </si>
  <si>
    <t>ID</t>
  </si>
  <si>
    <t>F1 retrieval</t>
  </si>
  <si>
    <t>F1 generation</t>
  </si>
  <si>
    <t>Category</t>
  </si>
  <si>
    <t>Direct Attribute Retrieval</t>
  </si>
  <si>
    <t>Element-to-Threat/Mitigation Relationships</t>
  </si>
  <si>
    <t>Threat-to-Mitigation Mapping</t>
  </si>
  <si>
    <t>Cross-Element and Cross-Case Traversal</t>
  </si>
  <si>
    <t>DFD Diagram Paths</t>
  </si>
  <si>
    <t>Trust Boundaries / Trust Zones</t>
  </si>
  <si>
    <t>Element to Element Path Tracing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</si>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</sst>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tabSelected="1" workbookViewId="0">
      <selection activeCell="O21" sqref="O21"/>
    </sheetView>
  </sheetViews>
  <sheetFormatPr defaultRowHeight="14.4" x14ac:dyDescent="0.3"/>
  <sheetData>
    <row r="1" spans="1:19" x14ac:dyDescent="0.3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27</v>
      </c>
      <c r="H1" t="s">
        <v>28</v>
      </c>
      <c r="L1" t="s">
        <v>26</v>
      </c>
      <c r="M1" t="s">
        <v>29</v>
      </c>
      <c r="N1" t="s">
        <v>1</v>
      </c>
      <c r="O1" t="s">
        <v>2</v>
      </c>
      <c r="P1" t="s">
        <v>3</v>
      </c>
      <c r="Q1" t="s">
        <v>4</v>
      </c>
      <c r="R1" t="s">
        <v>27</v>
      </c>
      <c r="S1" t="s">
        <v>28</v>
      </c>
    </row>
    <row r="2" spans="1:19" x14ac:dyDescent="0.3">
      <c r="A2">
        <v>1</v>
      </c>
      <c r="B2" t="s">
        <v>5</v>
      </c>
      <c r="C2">
        <v>1</v>
      </c>
      <c r="D2">
        <v>0</v>
      </c>
      <c r="E2">
        <v>0.16666666666666666</v>
      </c>
      <c r="F2">
        <v>0.66666666659999996</v>
      </c>
      <c r="G2">
        <v>0.2222222222148148</v>
      </c>
      <c r="H2">
        <v>0</v>
      </c>
      <c r="L2">
        <v>1</v>
      </c>
      <c r="M2" s="1" t="s">
        <v>30</v>
      </c>
      <c r="N2" s="2">
        <f>(C2+C3+C4)/3</f>
        <v>1</v>
      </c>
      <c r="O2" s="2">
        <f t="shared" ref="O2:S2" si="0">(D2+D3+D4)/3</f>
        <v>0.66164497421018653</v>
      </c>
      <c r="P2" s="2">
        <f t="shared" si="0"/>
        <v>0.72222222222222232</v>
      </c>
      <c r="Q2" s="2">
        <f t="shared" si="0"/>
        <v>0.88888888879999994</v>
      </c>
      <c r="R2" s="2">
        <f t="shared" si="0"/>
        <v>0.74074074070493834</v>
      </c>
      <c r="S2" s="2">
        <f t="shared" si="0"/>
        <v>0.66413944909406586</v>
      </c>
    </row>
    <row r="3" spans="1:19" x14ac:dyDescent="0.3">
      <c r="A3">
        <v>2</v>
      </c>
      <c r="B3" t="s">
        <v>6</v>
      </c>
      <c r="C3">
        <v>1</v>
      </c>
      <c r="D3">
        <v>0.99883277839356299</v>
      </c>
      <c r="E3">
        <v>1</v>
      </c>
      <c r="F3">
        <v>0.99999999989999999</v>
      </c>
      <c r="G3">
        <v>0.99999999995</v>
      </c>
      <c r="H3">
        <v>0.99941604839631693</v>
      </c>
      <c r="L3">
        <v>2</v>
      </c>
      <c r="M3" s="1" t="s">
        <v>31</v>
      </c>
      <c r="N3" s="2">
        <f>(C5+C6+C7)/3</f>
        <v>1</v>
      </c>
      <c r="O3" s="2">
        <f t="shared" ref="O3:S3" si="1">(D5+D6+D7)/3</f>
        <v>0.98523262639840514</v>
      </c>
      <c r="P3" s="2">
        <f t="shared" si="1"/>
        <v>1</v>
      </c>
      <c r="Q3" s="2">
        <f t="shared" si="1"/>
        <v>0.99999999989999999</v>
      </c>
      <c r="R3" s="2">
        <f t="shared" si="1"/>
        <v>0.99999999995</v>
      </c>
      <c r="S3" s="2">
        <f t="shared" si="1"/>
        <v>0.99252464786375316</v>
      </c>
    </row>
    <row r="4" spans="1:19" x14ac:dyDescent="0.3">
      <c r="A4">
        <v>3</v>
      </c>
      <c r="B4" t="s">
        <v>7</v>
      </c>
      <c r="C4">
        <v>1</v>
      </c>
      <c r="D4">
        <v>0.98610214423699638</v>
      </c>
      <c r="E4">
        <v>1</v>
      </c>
      <c r="F4">
        <v>0.99999999989999999</v>
      </c>
      <c r="G4">
        <v>0.99999999995</v>
      </c>
      <c r="H4">
        <v>0.99300229888588054</v>
      </c>
      <c r="L4">
        <v>3</v>
      </c>
      <c r="M4" s="1" t="s">
        <v>32</v>
      </c>
      <c r="N4" s="2">
        <f>(C8+C9+C10)/3</f>
        <v>1</v>
      </c>
      <c r="O4" s="2">
        <f t="shared" ref="O4:S4" si="2">(D8+D9+D10)/3</f>
        <v>0.58896297857290769</v>
      </c>
      <c r="P4" s="2">
        <f t="shared" si="2"/>
        <v>0.66666666666666663</v>
      </c>
      <c r="Q4" s="2">
        <f t="shared" si="2"/>
        <v>0.66666666659999996</v>
      </c>
      <c r="R4" s="2">
        <f t="shared" si="2"/>
        <v>0.66666666663333329</v>
      </c>
      <c r="S4" s="2">
        <f t="shared" si="2"/>
        <v>0.62302501245760344</v>
      </c>
    </row>
    <row r="5" spans="1:19" x14ac:dyDescent="0.3">
      <c r="A5">
        <v>4</v>
      </c>
      <c r="B5" t="s">
        <v>8</v>
      </c>
      <c r="C5">
        <v>1</v>
      </c>
      <c r="D5">
        <v>0.99872567647671395</v>
      </c>
      <c r="E5">
        <v>1</v>
      </c>
      <c r="F5">
        <v>0.99999999989999999</v>
      </c>
      <c r="G5">
        <v>0.99999999995</v>
      </c>
      <c r="H5">
        <v>0.99936243200440966</v>
      </c>
      <c r="L5">
        <v>4</v>
      </c>
      <c r="M5" s="1" t="s">
        <v>33</v>
      </c>
      <c r="N5" s="2">
        <f>(C11+C12+C13)/3</f>
        <v>1</v>
      </c>
      <c r="O5" s="2">
        <f>(D11+D12+D13)/3</f>
        <v>0.9825649470683725</v>
      </c>
      <c r="P5" s="2">
        <f>(E11+E12+E13)/3</f>
        <v>1</v>
      </c>
      <c r="Q5" s="2">
        <f t="shared" ref="O5:S5" si="3">(F11+F12+F13)/3</f>
        <v>0.99999999989999999</v>
      </c>
      <c r="R5" s="2">
        <f t="shared" si="3"/>
        <v>0.99999999995</v>
      </c>
      <c r="S5" s="2">
        <f t="shared" si="3"/>
        <v>0.99117652656526867</v>
      </c>
    </row>
    <row r="6" spans="1:19" x14ac:dyDescent="0.3">
      <c r="A6">
        <v>5</v>
      </c>
      <c r="B6" t="s">
        <v>9</v>
      </c>
      <c r="C6">
        <v>1</v>
      </c>
      <c r="D6">
        <v>0.9809758813709416</v>
      </c>
      <c r="E6">
        <v>1</v>
      </c>
      <c r="F6">
        <v>0.99999999989999999</v>
      </c>
      <c r="G6">
        <v>0.99999999995</v>
      </c>
      <c r="H6">
        <v>0.99039651992435862</v>
      </c>
      <c r="L6">
        <v>5</v>
      </c>
      <c r="M6" s="1" t="s">
        <v>34</v>
      </c>
      <c r="N6" s="2">
        <f>(C14+C15+C16)/3</f>
        <v>1</v>
      </c>
      <c r="O6" s="2">
        <f t="shared" ref="O6:S6" si="4">(D14+D15+D16)/3</f>
        <v>0.69531657069210218</v>
      </c>
      <c r="P6" s="2">
        <f t="shared" si="4"/>
        <v>0.88888888888888884</v>
      </c>
      <c r="Q6" s="2">
        <f t="shared" si="4"/>
        <v>0.88888888879999994</v>
      </c>
      <c r="R6" s="2">
        <f t="shared" si="4"/>
        <v>0.88888888884444439</v>
      </c>
      <c r="S6" s="2">
        <f t="shared" si="4"/>
        <v>0.73310790551313365</v>
      </c>
    </row>
    <row r="7" spans="1:19" x14ac:dyDescent="0.3">
      <c r="A7">
        <v>6</v>
      </c>
      <c r="B7" t="s">
        <v>10</v>
      </c>
      <c r="C7">
        <v>1</v>
      </c>
      <c r="D7">
        <v>0.97599632134755998</v>
      </c>
      <c r="E7">
        <v>1</v>
      </c>
      <c r="F7">
        <v>0.99999999989999999</v>
      </c>
      <c r="G7">
        <v>0.99999999995</v>
      </c>
      <c r="H7">
        <v>0.98781499166249098</v>
      </c>
      <c r="L7">
        <v>6</v>
      </c>
      <c r="M7" s="1" t="s">
        <v>35</v>
      </c>
      <c r="N7" s="2">
        <f>(C17+C18+C19)/3</f>
        <v>1</v>
      </c>
      <c r="O7" s="2">
        <f t="shared" ref="O7:S7" si="5">(D17+D18+D19)/3</f>
        <v>0.97274461928445854</v>
      </c>
      <c r="P7" s="2">
        <f t="shared" si="5"/>
        <v>1</v>
      </c>
      <c r="Q7" s="2">
        <f t="shared" si="5"/>
        <v>0.99999999989999999</v>
      </c>
      <c r="R7" s="2">
        <f t="shared" si="5"/>
        <v>0.99999999995</v>
      </c>
      <c r="S7" s="2">
        <f t="shared" si="5"/>
        <v>0.9859872715575535</v>
      </c>
    </row>
    <row r="8" spans="1:19" x14ac:dyDescent="0.3">
      <c r="A8">
        <v>7</v>
      </c>
      <c r="B8" t="s">
        <v>11</v>
      </c>
      <c r="C8">
        <v>1</v>
      </c>
      <c r="D8">
        <v>0.99230922846901437</v>
      </c>
      <c r="E8">
        <v>1</v>
      </c>
      <c r="F8">
        <v>0.99999999989999999</v>
      </c>
      <c r="G8">
        <v>0.99999999995</v>
      </c>
      <c r="H8">
        <v>0.99613977016152244</v>
      </c>
      <c r="L8">
        <v>7</v>
      </c>
      <c r="M8" s="1" t="s">
        <v>36</v>
      </c>
      <c r="N8" s="2">
        <f>(C2+C21+C22)/3</f>
        <v>1</v>
      </c>
      <c r="O8" s="2">
        <f t="shared" ref="O8:S8" si="6">(D2+D21+D22)/3</f>
        <v>0</v>
      </c>
      <c r="P8" s="2">
        <f t="shared" si="6"/>
        <v>0.16666666666666655</v>
      </c>
      <c r="Q8" s="2">
        <f t="shared" si="6"/>
        <v>0.66666666659999996</v>
      </c>
      <c r="R8" s="2">
        <f t="shared" si="6"/>
        <v>0.12962962962577154</v>
      </c>
      <c r="S8" s="2">
        <f t="shared" si="6"/>
        <v>0</v>
      </c>
    </row>
    <row r="9" spans="1:19" x14ac:dyDescent="0.3">
      <c r="A9">
        <v>8</v>
      </c>
      <c r="B9" t="s">
        <v>12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M9" s="1"/>
      <c r="N9" s="2"/>
      <c r="O9" s="2"/>
      <c r="P9" s="2"/>
      <c r="Q9" s="2"/>
      <c r="R9" s="2"/>
      <c r="S9" s="2"/>
    </row>
    <row r="10" spans="1:19" x14ac:dyDescent="0.3">
      <c r="A10">
        <v>9</v>
      </c>
      <c r="B10" t="s">
        <v>13</v>
      </c>
      <c r="C10">
        <v>1</v>
      </c>
      <c r="D10">
        <v>0.7745797072497087</v>
      </c>
      <c r="E10">
        <v>1</v>
      </c>
      <c r="F10">
        <v>0.99999999989999999</v>
      </c>
      <c r="G10">
        <v>0.99999999995</v>
      </c>
      <c r="H10">
        <v>0.87293526721128789</v>
      </c>
      <c r="M10" s="1"/>
      <c r="N10" s="2"/>
      <c r="O10" s="2"/>
      <c r="P10" s="2"/>
      <c r="Q10" s="2"/>
      <c r="R10" s="2"/>
      <c r="S10" s="2"/>
    </row>
    <row r="11" spans="1:19" x14ac:dyDescent="0.3">
      <c r="A11">
        <v>10</v>
      </c>
      <c r="B11" t="s">
        <v>14</v>
      </c>
      <c r="C11">
        <v>1</v>
      </c>
      <c r="D11">
        <v>0.98954013733329893</v>
      </c>
      <c r="E11">
        <v>1</v>
      </c>
      <c r="F11">
        <v>0.99999999989999999</v>
      </c>
      <c r="G11">
        <v>0.99999999995</v>
      </c>
      <c r="H11">
        <v>0.99474257268069077</v>
      </c>
      <c r="M11" t="s">
        <v>37</v>
      </c>
      <c r="N11" s="2">
        <f>SUM(N2:N8)/7</f>
        <v>1</v>
      </c>
      <c r="O11" s="2">
        <f t="shared" ref="O11:S11" si="7">SUM(O2:O8)/7</f>
        <v>0.69806667374663323</v>
      </c>
      <c r="P11" s="2">
        <f t="shared" si="7"/>
        <v>0.77777777777777779</v>
      </c>
      <c r="Q11" s="2">
        <f t="shared" si="7"/>
        <v>0.87301587292857152</v>
      </c>
      <c r="R11" s="2">
        <f t="shared" si="7"/>
        <v>0.77513227509406957</v>
      </c>
      <c r="S11" s="2">
        <f t="shared" si="7"/>
        <v>0.71285154472162537</v>
      </c>
    </row>
    <row r="12" spans="1:19" x14ac:dyDescent="0.3">
      <c r="A12">
        <v>11</v>
      </c>
      <c r="B12" t="s">
        <v>15</v>
      </c>
      <c r="C12">
        <v>1</v>
      </c>
      <c r="D12">
        <v>0.99064296577641564</v>
      </c>
      <c r="E12">
        <v>1</v>
      </c>
      <c r="F12">
        <v>0.99999999989999999</v>
      </c>
      <c r="G12">
        <v>0.99999999995</v>
      </c>
      <c r="H12">
        <v>0.99529946103921019</v>
      </c>
      <c r="M12" s="1"/>
      <c r="N12" s="2"/>
      <c r="O12" s="2"/>
      <c r="P12" s="2"/>
      <c r="Q12" s="2"/>
      <c r="R12" s="2"/>
      <c r="S12" s="2"/>
    </row>
    <row r="13" spans="1:19" x14ac:dyDescent="0.3">
      <c r="A13">
        <v>12</v>
      </c>
      <c r="B13" t="s">
        <v>16</v>
      </c>
      <c r="C13">
        <v>1</v>
      </c>
      <c r="D13">
        <v>0.96751173809540303</v>
      </c>
      <c r="E13">
        <v>1</v>
      </c>
      <c r="F13">
        <v>0.99999999989999999</v>
      </c>
      <c r="G13">
        <v>0.99999999995</v>
      </c>
      <c r="H13">
        <v>0.98348754597590526</v>
      </c>
    </row>
    <row r="14" spans="1:19" x14ac:dyDescent="0.3">
      <c r="A14">
        <v>13</v>
      </c>
      <c r="B14" t="s">
        <v>17</v>
      </c>
      <c r="C14">
        <v>1</v>
      </c>
      <c r="D14">
        <v>0.66088306695147103</v>
      </c>
      <c r="E14">
        <v>0.66666666666666663</v>
      </c>
      <c r="F14">
        <v>0.66666666659999996</v>
      </c>
      <c r="G14">
        <v>0.66666666663333329</v>
      </c>
      <c r="H14">
        <v>0.66376211919271844</v>
      </c>
    </row>
    <row r="15" spans="1:19" x14ac:dyDescent="0.3">
      <c r="A15">
        <v>14</v>
      </c>
      <c r="B15" t="s">
        <v>18</v>
      </c>
      <c r="C15">
        <v>1</v>
      </c>
      <c r="D15">
        <v>0.53923046386507534</v>
      </c>
      <c r="E15">
        <v>1</v>
      </c>
      <c r="F15">
        <v>0.99999999989999999</v>
      </c>
      <c r="G15">
        <v>0.99999999995</v>
      </c>
      <c r="H15">
        <v>0.59621486710968696</v>
      </c>
    </row>
    <row r="16" spans="1:19" x14ac:dyDescent="0.3">
      <c r="A16">
        <v>15</v>
      </c>
      <c r="B16" t="s">
        <v>19</v>
      </c>
      <c r="C16">
        <v>1</v>
      </c>
      <c r="D16">
        <v>0.88583618125976038</v>
      </c>
      <c r="E16">
        <v>1</v>
      </c>
      <c r="F16">
        <v>0.99999999989999999</v>
      </c>
      <c r="G16">
        <v>0.99999999995</v>
      </c>
      <c r="H16">
        <v>0.93934673023699533</v>
      </c>
    </row>
    <row r="17" spans="1:8" x14ac:dyDescent="0.3">
      <c r="A17">
        <v>16</v>
      </c>
      <c r="B17" t="s">
        <v>20</v>
      </c>
      <c r="C17">
        <v>1</v>
      </c>
      <c r="D17">
        <v>0.99513865599920737</v>
      </c>
      <c r="E17">
        <v>1</v>
      </c>
      <c r="F17">
        <v>0.99999999989999999</v>
      </c>
      <c r="G17">
        <v>0.99999999995</v>
      </c>
      <c r="H17">
        <v>0.9975634054374235</v>
      </c>
    </row>
    <row r="18" spans="1:8" x14ac:dyDescent="0.3">
      <c r="A18">
        <v>17</v>
      </c>
      <c r="B18" t="s">
        <v>21</v>
      </c>
      <c r="C18">
        <v>1</v>
      </c>
      <c r="D18">
        <v>0.98885045594904997</v>
      </c>
      <c r="E18">
        <v>1</v>
      </c>
      <c r="F18">
        <v>0.99999999989999999</v>
      </c>
      <c r="G18">
        <v>0.99999999995</v>
      </c>
      <c r="H18">
        <v>0.99439383883556642</v>
      </c>
    </row>
    <row r="19" spans="1:8" x14ac:dyDescent="0.3">
      <c r="A19">
        <v>18</v>
      </c>
      <c r="B19" t="s">
        <v>22</v>
      </c>
      <c r="C19">
        <v>1</v>
      </c>
      <c r="D19">
        <v>0.9342447459051183</v>
      </c>
      <c r="E19">
        <v>1</v>
      </c>
      <c r="F19">
        <v>0.99999999989999999</v>
      </c>
      <c r="G19">
        <v>0.99999999995</v>
      </c>
      <c r="H19">
        <v>0.96600457039967058</v>
      </c>
    </row>
    <row r="20" spans="1:8" x14ac:dyDescent="0.3">
      <c r="A20">
        <v>19</v>
      </c>
      <c r="B20" t="s">
        <v>23</v>
      </c>
      <c r="C20">
        <v>0.91666666666666663</v>
      </c>
      <c r="D20">
        <v>0</v>
      </c>
      <c r="E20">
        <v>0.16666666666666666</v>
      </c>
      <c r="F20">
        <v>0.99999999989999999</v>
      </c>
      <c r="G20">
        <v>0.2222222222148148</v>
      </c>
      <c r="H20">
        <v>0</v>
      </c>
    </row>
    <row r="21" spans="1:8" x14ac:dyDescent="0.3">
      <c r="A21">
        <v>20</v>
      </c>
      <c r="B21" t="s">
        <v>24</v>
      </c>
      <c r="C21">
        <v>1</v>
      </c>
      <c r="D21">
        <v>0</v>
      </c>
      <c r="E21">
        <v>0.33333333333333298</v>
      </c>
      <c r="F21">
        <v>0.33333333329999998</v>
      </c>
      <c r="G21">
        <v>0.16666666666249985</v>
      </c>
      <c r="H21">
        <v>0</v>
      </c>
    </row>
    <row r="22" spans="1:8" x14ac:dyDescent="0.3">
      <c r="A22">
        <v>21</v>
      </c>
      <c r="B22" t="s">
        <v>25</v>
      </c>
      <c r="C22">
        <v>1</v>
      </c>
      <c r="D22">
        <v>0</v>
      </c>
      <c r="E22">
        <v>0</v>
      </c>
      <c r="F22">
        <v>0.99999999989999999</v>
      </c>
      <c r="G22">
        <v>0</v>
      </c>
      <c r="H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"/>
  <sheetViews>
    <sheetView topLeftCell="H1" workbookViewId="0">
      <selection activeCell="W2" sqref="W2:AB22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28</v>
      </c>
      <c r="H1" t="s">
        <v>1</v>
      </c>
      <c r="I1" t="s">
        <v>2</v>
      </c>
      <c r="J1" t="s">
        <v>3</v>
      </c>
      <c r="K1" t="s">
        <v>4</v>
      </c>
      <c r="L1" t="s">
        <v>27</v>
      </c>
      <c r="M1" t="s">
        <v>28</v>
      </c>
      <c r="N1" t="s">
        <v>1</v>
      </c>
      <c r="O1" t="s">
        <v>2</v>
      </c>
      <c r="P1" t="s">
        <v>3</v>
      </c>
      <c r="Q1" t="s">
        <v>4</v>
      </c>
      <c r="R1" t="s">
        <v>27</v>
      </c>
      <c r="S1" t="s">
        <v>28</v>
      </c>
      <c r="V1" t="s">
        <v>0</v>
      </c>
      <c r="W1" t="s">
        <v>1</v>
      </c>
      <c r="X1" t="s">
        <v>2</v>
      </c>
      <c r="Y1" t="s">
        <v>3</v>
      </c>
      <c r="Z1" t="s">
        <v>4</v>
      </c>
      <c r="AA1" t="s">
        <v>27</v>
      </c>
      <c r="AB1" t="s">
        <v>28</v>
      </c>
    </row>
    <row r="2" spans="1:28" x14ac:dyDescent="0.3">
      <c r="A2" t="s">
        <v>5</v>
      </c>
      <c r="B2">
        <v>1</v>
      </c>
      <c r="C2">
        <v>0</v>
      </c>
      <c r="D2">
        <v>0</v>
      </c>
      <c r="E2">
        <v>0.99999999989999999</v>
      </c>
      <c r="F2">
        <f>IF(E2 + D2 = 0, 0, 2 * E2 * D2 / (E2 + D2))</f>
        <v>0</v>
      </c>
      <c r="G2">
        <f>IF(B2 + C2 = 0, 0, 2 * B2 * C2 / (B2 + C2))</f>
        <v>0</v>
      </c>
      <c r="H2">
        <v>1</v>
      </c>
      <c r="I2">
        <v>0</v>
      </c>
      <c r="J2">
        <v>0</v>
      </c>
      <c r="K2">
        <v>0</v>
      </c>
      <c r="L2">
        <f>IF(K2 + J2 = 0, 0, 2 * K2 * J2 / (K2 + J2))</f>
        <v>0</v>
      </c>
      <c r="M2">
        <f>IF(H2 + I2 = 0, 0, 2 * H2 * I2 / (H2 + I2))</f>
        <v>0</v>
      </c>
      <c r="N2">
        <v>1</v>
      </c>
      <c r="O2">
        <v>0</v>
      </c>
      <c r="P2">
        <v>0.5</v>
      </c>
      <c r="Q2">
        <v>0.99999999989999999</v>
      </c>
      <c r="R2">
        <f>IF(Q2 + P2 = 0, 0, 2 * Q2 * P2 / (Q2 + P2))</f>
        <v>0.66666666664444441</v>
      </c>
      <c r="S2">
        <f>IF(N2 + O2 = 0, 0, 2 * N2 * O2 / (N2 + O2))</f>
        <v>0</v>
      </c>
      <c r="V2" t="s">
        <v>5</v>
      </c>
      <c r="W2">
        <f t="shared" ref="W2:AB17" si="0">(B2 + H2 + N2)/3</f>
        <v>1</v>
      </c>
      <c r="X2">
        <f t="shared" si="0"/>
        <v>0</v>
      </c>
      <c r="Y2">
        <f t="shared" si="0"/>
        <v>0.16666666666666666</v>
      </c>
      <c r="Z2">
        <f t="shared" si="0"/>
        <v>0.66666666659999996</v>
      </c>
      <c r="AA2">
        <f t="shared" si="0"/>
        <v>0.2222222222148148</v>
      </c>
      <c r="AB2">
        <f t="shared" si="0"/>
        <v>0</v>
      </c>
    </row>
    <row r="3" spans="1:28" x14ac:dyDescent="0.3">
      <c r="A3" t="s">
        <v>6</v>
      </c>
      <c r="B3">
        <v>1</v>
      </c>
      <c r="C3">
        <v>0.99883277839356299</v>
      </c>
      <c r="D3">
        <v>1</v>
      </c>
      <c r="E3">
        <v>0.99999999989999999</v>
      </c>
      <c r="F3">
        <f t="shared" ref="F3:F22" si="1">IF(E3 + D3 = 0, 0, 2 * E3 * D3 / (E3 + D3))</f>
        <v>0.99999999995</v>
      </c>
      <c r="G3">
        <f t="shared" ref="G3:G22" si="2">IF(B3 + C3 = 0, 0, 2 * B3 * C3 / (B3 + C3))</f>
        <v>0.99941604839631693</v>
      </c>
      <c r="H3">
        <v>1</v>
      </c>
      <c r="I3">
        <v>0.99883277839356299</v>
      </c>
      <c r="J3">
        <v>1</v>
      </c>
      <c r="K3">
        <v>0.99999999989999999</v>
      </c>
      <c r="L3">
        <f t="shared" ref="L3:L22" si="3">IF(K3 + J3 = 0, 0, 2 * K3 * J3 / (K3 + J3))</f>
        <v>0.99999999995</v>
      </c>
      <c r="M3">
        <f t="shared" ref="M3:M22" si="4">IF(H3 + I3 = 0, 0, 2 * H3 * I3 / (H3 + I3))</f>
        <v>0.99941604839631693</v>
      </c>
      <c r="N3">
        <v>1</v>
      </c>
      <c r="O3">
        <v>0.99883277839356299</v>
      </c>
      <c r="P3">
        <v>1</v>
      </c>
      <c r="Q3">
        <v>0.99999999989999999</v>
      </c>
      <c r="R3">
        <f t="shared" ref="R3:R22" si="5">IF(Q3 + P3 = 0, 0, 2 * Q3 * P3 / (Q3 + P3))</f>
        <v>0.99999999995</v>
      </c>
      <c r="S3">
        <f t="shared" ref="S3:S22" si="6">IF(N3 + O3 = 0, 0, 2 * N3 * O3 / (N3 + O3))</f>
        <v>0.99941604839631693</v>
      </c>
      <c r="V3" t="s">
        <v>6</v>
      </c>
      <c r="W3">
        <f t="shared" si="0"/>
        <v>1</v>
      </c>
      <c r="X3">
        <f t="shared" si="0"/>
        <v>0.99883277839356299</v>
      </c>
      <c r="Y3">
        <f t="shared" si="0"/>
        <v>1</v>
      </c>
      <c r="Z3">
        <f t="shared" si="0"/>
        <v>0.99999999989999999</v>
      </c>
      <c r="AA3">
        <f t="shared" si="0"/>
        <v>0.99999999995</v>
      </c>
      <c r="AB3">
        <f t="shared" si="0"/>
        <v>0.99941604839631693</v>
      </c>
    </row>
    <row r="4" spans="1:28" x14ac:dyDescent="0.3">
      <c r="A4" t="s">
        <v>7</v>
      </c>
      <c r="B4">
        <v>1</v>
      </c>
      <c r="C4">
        <v>0.985026444886411</v>
      </c>
      <c r="D4">
        <v>1</v>
      </c>
      <c r="E4">
        <v>0.99999999989999999</v>
      </c>
      <c r="F4">
        <f t="shared" si="1"/>
        <v>0.99999999995</v>
      </c>
      <c r="G4">
        <f t="shared" si="2"/>
        <v>0.99245674779186843</v>
      </c>
      <c r="H4">
        <v>1</v>
      </c>
      <c r="I4">
        <v>0.98663999391228896</v>
      </c>
      <c r="J4">
        <v>1</v>
      </c>
      <c r="K4">
        <v>0.99999999989999999</v>
      </c>
      <c r="L4">
        <f t="shared" si="3"/>
        <v>0.99999999995</v>
      </c>
      <c r="M4">
        <f t="shared" si="4"/>
        <v>0.99327507443288643</v>
      </c>
      <c r="N4">
        <v>1</v>
      </c>
      <c r="O4">
        <v>0.98663999391228896</v>
      </c>
      <c r="P4">
        <v>1</v>
      </c>
      <c r="Q4">
        <v>0.99999999989999999</v>
      </c>
      <c r="R4">
        <f t="shared" si="5"/>
        <v>0.99999999995</v>
      </c>
      <c r="S4">
        <f t="shared" si="6"/>
        <v>0.99327507443288643</v>
      </c>
      <c r="V4" t="s">
        <v>7</v>
      </c>
      <c r="W4">
        <f t="shared" si="0"/>
        <v>1</v>
      </c>
      <c r="X4">
        <f t="shared" si="0"/>
        <v>0.98610214423699638</v>
      </c>
      <c r="Y4">
        <f t="shared" si="0"/>
        <v>1</v>
      </c>
      <c r="Z4">
        <f t="shared" si="0"/>
        <v>0.99999999989999999</v>
      </c>
      <c r="AA4">
        <f t="shared" si="0"/>
        <v>0.99999999995</v>
      </c>
      <c r="AB4">
        <f t="shared" si="0"/>
        <v>0.99300229888588054</v>
      </c>
    </row>
    <row r="5" spans="1:28" x14ac:dyDescent="0.3">
      <c r="A5" t="s">
        <v>8</v>
      </c>
      <c r="B5">
        <v>1</v>
      </c>
      <c r="C5">
        <v>0.99872567647671395</v>
      </c>
      <c r="D5">
        <v>1</v>
      </c>
      <c r="E5">
        <v>0.99999999989999999</v>
      </c>
      <c r="F5">
        <f t="shared" si="1"/>
        <v>0.99999999995</v>
      </c>
      <c r="G5">
        <f t="shared" si="2"/>
        <v>0.99936243200440966</v>
      </c>
      <c r="H5">
        <v>1</v>
      </c>
      <c r="I5">
        <v>0.99872567647671395</v>
      </c>
      <c r="J5">
        <v>1</v>
      </c>
      <c r="K5">
        <v>0.99999999989999999</v>
      </c>
      <c r="L5">
        <f t="shared" si="3"/>
        <v>0.99999999995</v>
      </c>
      <c r="M5">
        <f t="shared" si="4"/>
        <v>0.99936243200440966</v>
      </c>
      <c r="N5">
        <v>1</v>
      </c>
      <c r="O5">
        <v>0.99872567647671395</v>
      </c>
      <c r="P5">
        <v>1</v>
      </c>
      <c r="Q5">
        <v>0.99999999989999999</v>
      </c>
      <c r="R5">
        <f t="shared" si="5"/>
        <v>0.99999999995</v>
      </c>
      <c r="S5">
        <f t="shared" si="6"/>
        <v>0.99936243200440966</v>
      </c>
      <c r="V5" t="s">
        <v>8</v>
      </c>
      <c r="W5">
        <f t="shared" si="0"/>
        <v>1</v>
      </c>
      <c r="X5">
        <f t="shared" si="0"/>
        <v>0.99872567647671395</v>
      </c>
      <c r="Y5">
        <f t="shared" si="0"/>
        <v>1</v>
      </c>
      <c r="Z5">
        <f t="shared" si="0"/>
        <v>0.99999999989999999</v>
      </c>
      <c r="AA5">
        <f t="shared" si="0"/>
        <v>0.99999999995</v>
      </c>
      <c r="AB5">
        <f t="shared" si="0"/>
        <v>0.99936243200440966</v>
      </c>
    </row>
    <row r="6" spans="1:28" x14ac:dyDescent="0.3">
      <c r="A6" t="s">
        <v>9</v>
      </c>
      <c r="B6">
        <v>1</v>
      </c>
      <c r="C6">
        <v>0.98060027185598597</v>
      </c>
      <c r="D6">
        <v>1</v>
      </c>
      <c r="E6">
        <v>0.99999999989999999</v>
      </c>
      <c r="F6">
        <f t="shared" si="1"/>
        <v>0.99999999995</v>
      </c>
      <c r="G6">
        <f t="shared" si="2"/>
        <v>0.990205126991205</v>
      </c>
      <c r="H6">
        <v>1</v>
      </c>
      <c r="I6">
        <v>0.98172710040085298</v>
      </c>
      <c r="J6">
        <v>1</v>
      </c>
      <c r="K6">
        <v>0.99999999989999999</v>
      </c>
      <c r="L6">
        <f t="shared" si="3"/>
        <v>0.99999999995</v>
      </c>
      <c r="M6">
        <f t="shared" si="4"/>
        <v>0.99077930579066564</v>
      </c>
      <c r="N6">
        <v>1</v>
      </c>
      <c r="O6">
        <v>0.98060027185598597</v>
      </c>
      <c r="P6">
        <v>1</v>
      </c>
      <c r="Q6">
        <v>0.99999999989999999</v>
      </c>
      <c r="R6">
        <f t="shared" si="5"/>
        <v>0.99999999995</v>
      </c>
      <c r="S6">
        <f t="shared" si="6"/>
        <v>0.990205126991205</v>
      </c>
      <c r="V6" t="s">
        <v>9</v>
      </c>
      <c r="W6">
        <f t="shared" si="0"/>
        <v>1</v>
      </c>
      <c r="X6">
        <f t="shared" si="0"/>
        <v>0.9809758813709416</v>
      </c>
      <c r="Y6">
        <f t="shared" si="0"/>
        <v>1</v>
      </c>
      <c r="Z6">
        <f t="shared" si="0"/>
        <v>0.99999999989999999</v>
      </c>
      <c r="AA6">
        <f t="shared" si="0"/>
        <v>0.99999999995</v>
      </c>
      <c r="AB6">
        <f t="shared" si="0"/>
        <v>0.99039651992435862</v>
      </c>
    </row>
    <row r="7" spans="1:28" x14ac:dyDescent="0.3">
      <c r="A7" t="s">
        <v>10</v>
      </c>
      <c r="B7">
        <v>1</v>
      </c>
      <c r="C7">
        <v>0.95914425656966995</v>
      </c>
      <c r="D7">
        <v>1</v>
      </c>
      <c r="E7">
        <v>0.99999999989999999</v>
      </c>
      <c r="F7">
        <f t="shared" si="1"/>
        <v>0.99999999995</v>
      </c>
      <c r="G7">
        <f t="shared" si="2"/>
        <v>0.97914612806416523</v>
      </c>
      <c r="H7">
        <v>1</v>
      </c>
      <c r="I7">
        <v>0.98287672680674498</v>
      </c>
      <c r="J7">
        <v>1</v>
      </c>
      <c r="K7">
        <v>0.99999999989999999</v>
      </c>
      <c r="L7">
        <f t="shared" si="3"/>
        <v>0.99999999995</v>
      </c>
      <c r="M7">
        <f t="shared" si="4"/>
        <v>0.99136442878078923</v>
      </c>
      <c r="N7">
        <v>1</v>
      </c>
      <c r="O7">
        <v>0.98596798066626501</v>
      </c>
      <c r="P7">
        <v>1</v>
      </c>
      <c r="Q7">
        <v>0.99999999989999999</v>
      </c>
      <c r="R7">
        <f t="shared" si="5"/>
        <v>0.99999999995</v>
      </c>
      <c r="S7">
        <f t="shared" si="6"/>
        <v>0.99293441814251826</v>
      </c>
      <c r="V7" t="s">
        <v>10</v>
      </c>
      <c r="W7">
        <f t="shared" si="0"/>
        <v>1</v>
      </c>
      <c r="X7">
        <f t="shared" si="0"/>
        <v>0.97599632134755998</v>
      </c>
      <c r="Y7">
        <f t="shared" si="0"/>
        <v>1</v>
      </c>
      <c r="Z7">
        <f t="shared" si="0"/>
        <v>0.99999999989999999</v>
      </c>
      <c r="AA7">
        <f t="shared" si="0"/>
        <v>0.99999999995</v>
      </c>
      <c r="AB7">
        <f t="shared" si="0"/>
        <v>0.98781499166249098</v>
      </c>
    </row>
    <row r="8" spans="1:28" x14ac:dyDescent="0.3">
      <c r="A8" t="s">
        <v>11</v>
      </c>
      <c r="B8">
        <v>1</v>
      </c>
      <c r="C8">
        <v>0.99230875606249902</v>
      </c>
      <c r="D8">
        <v>1</v>
      </c>
      <c r="E8">
        <v>0.99999999989999999</v>
      </c>
      <c r="F8">
        <f t="shared" si="1"/>
        <v>0.99999999995</v>
      </c>
      <c r="G8">
        <f t="shared" si="2"/>
        <v>0.99613953213120365</v>
      </c>
      <c r="H8">
        <v>1</v>
      </c>
      <c r="I8">
        <v>0.99231017328204496</v>
      </c>
      <c r="J8">
        <v>1</v>
      </c>
      <c r="K8">
        <v>0.99999999989999999</v>
      </c>
      <c r="L8">
        <f t="shared" si="3"/>
        <v>0.99999999995</v>
      </c>
      <c r="M8">
        <f t="shared" si="4"/>
        <v>0.99614024622215969</v>
      </c>
      <c r="N8">
        <v>1</v>
      </c>
      <c r="O8">
        <v>0.99230875606249902</v>
      </c>
      <c r="P8">
        <v>1</v>
      </c>
      <c r="Q8">
        <v>0.99999999989999999</v>
      </c>
      <c r="R8">
        <f t="shared" si="5"/>
        <v>0.99999999995</v>
      </c>
      <c r="S8">
        <f t="shared" si="6"/>
        <v>0.99613953213120365</v>
      </c>
      <c r="V8" t="s">
        <v>11</v>
      </c>
      <c r="W8">
        <f t="shared" si="0"/>
        <v>1</v>
      </c>
      <c r="X8">
        <f t="shared" si="0"/>
        <v>0.99230922846901437</v>
      </c>
      <c r="Y8">
        <f t="shared" si="0"/>
        <v>1</v>
      </c>
      <c r="Z8">
        <f t="shared" si="0"/>
        <v>0.99999999989999999</v>
      </c>
      <c r="AA8">
        <f t="shared" si="0"/>
        <v>0.99999999995</v>
      </c>
      <c r="AB8">
        <f t="shared" si="0"/>
        <v>0.99613977016152244</v>
      </c>
    </row>
    <row r="9" spans="1:28" x14ac:dyDescent="0.3">
      <c r="A9" t="s">
        <v>12</v>
      </c>
      <c r="B9">
        <v>1</v>
      </c>
      <c r="C9">
        <v>0</v>
      </c>
      <c r="D9">
        <v>0</v>
      </c>
      <c r="E9">
        <v>0</v>
      </c>
      <c r="F9">
        <f t="shared" si="1"/>
        <v>0</v>
      </c>
      <c r="G9">
        <f t="shared" si="2"/>
        <v>0</v>
      </c>
      <c r="H9">
        <v>1</v>
      </c>
      <c r="I9">
        <v>0</v>
      </c>
      <c r="J9">
        <v>0</v>
      </c>
      <c r="K9">
        <v>0</v>
      </c>
      <c r="L9">
        <f t="shared" si="3"/>
        <v>0</v>
      </c>
      <c r="M9">
        <f t="shared" si="4"/>
        <v>0</v>
      </c>
      <c r="N9">
        <v>1</v>
      </c>
      <c r="O9">
        <v>0</v>
      </c>
      <c r="P9">
        <v>0</v>
      </c>
      <c r="Q9">
        <v>0</v>
      </c>
      <c r="R9">
        <f t="shared" si="5"/>
        <v>0</v>
      </c>
      <c r="S9">
        <f t="shared" si="6"/>
        <v>0</v>
      </c>
      <c r="V9" t="s">
        <v>12</v>
      </c>
      <c r="W9">
        <f t="shared" si="0"/>
        <v>1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</row>
    <row r="10" spans="1:28" x14ac:dyDescent="0.3">
      <c r="A10" t="s">
        <v>13</v>
      </c>
      <c r="B10">
        <v>1</v>
      </c>
      <c r="C10">
        <v>0.78228305684572697</v>
      </c>
      <c r="D10">
        <v>1</v>
      </c>
      <c r="E10">
        <v>0.99999999989999999</v>
      </c>
      <c r="F10">
        <f t="shared" si="1"/>
        <v>0.99999999995</v>
      </c>
      <c r="G10">
        <f t="shared" si="2"/>
        <v>0.87784379012187497</v>
      </c>
      <c r="H10">
        <v>1</v>
      </c>
      <c r="I10">
        <v>0.78127418431387097</v>
      </c>
      <c r="J10">
        <v>1</v>
      </c>
      <c r="K10">
        <v>0.99999999989999999</v>
      </c>
      <c r="L10">
        <f t="shared" si="3"/>
        <v>0.99999999995</v>
      </c>
      <c r="M10">
        <f t="shared" si="4"/>
        <v>0.87720822677819243</v>
      </c>
      <c r="N10">
        <v>1</v>
      </c>
      <c r="O10">
        <v>0.76018188058952796</v>
      </c>
      <c r="P10">
        <v>1</v>
      </c>
      <c r="Q10">
        <v>0.99999999989999999</v>
      </c>
      <c r="R10">
        <f t="shared" si="5"/>
        <v>0.99999999995</v>
      </c>
      <c r="S10">
        <f t="shared" si="6"/>
        <v>0.86375378473379627</v>
      </c>
      <c r="V10" t="s">
        <v>13</v>
      </c>
      <c r="W10">
        <f t="shared" si="0"/>
        <v>1</v>
      </c>
      <c r="X10">
        <f t="shared" si="0"/>
        <v>0.7745797072497087</v>
      </c>
      <c r="Y10">
        <f t="shared" si="0"/>
        <v>1</v>
      </c>
      <c r="Z10">
        <f t="shared" si="0"/>
        <v>0.99999999989999999</v>
      </c>
      <c r="AA10">
        <f t="shared" si="0"/>
        <v>0.99999999995</v>
      </c>
      <c r="AB10">
        <f t="shared" si="0"/>
        <v>0.87293526721128789</v>
      </c>
    </row>
    <row r="11" spans="1:28" x14ac:dyDescent="0.3">
      <c r="A11" t="s">
        <v>14</v>
      </c>
      <c r="B11">
        <v>1</v>
      </c>
      <c r="C11">
        <v>0.98954217052980198</v>
      </c>
      <c r="D11">
        <v>1</v>
      </c>
      <c r="E11">
        <v>0.99999999989999999</v>
      </c>
      <c r="F11">
        <f t="shared" si="1"/>
        <v>0.99999999995</v>
      </c>
      <c r="G11">
        <f t="shared" si="2"/>
        <v>0.99474359999747419</v>
      </c>
      <c r="H11">
        <v>1</v>
      </c>
      <c r="I11">
        <v>0.98953607094029306</v>
      </c>
      <c r="J11">
        <v>1</v>
      </c>
      <c r="K11">
        <v>0.99999999989999999</v>
      </c>
      <c r="L11">
        <f t="shared" si="3"/>
        <v>0.99999999995</v>
      </c>
      <c r="M11">
        <f t="shared" si="4"/>
        <v>0.99474051804712371</v>
      </c>
      <c r="N11">
        <v>1</v>
      </c>
      <c r="O11">
        <v>0.98954217052980198</v>
      </c>
      <c r="P11">
        <v>1</v>
      </c>
      <c r="Q11">
        <v>0.99999999989999999</v>
      </c>
      <c r="R11">
        <f t="shared" si="5"/>
        <v>0.99999999995</v>
      </c>
      <c r="S11">
        <f t="shared" si="6"/>
        <v>0.99474359999747419</v>
      </c>
      <c r="V11" t="s">
        <v>14</v>
      </c>
      <c r="W11">
        <f t="shared" si="0"/>
        <v>1</v>
      </c>
      <c r="X11">
        <f t="shared" si="0"/>
        <v>0.98954013733329893</v>
      </c>
      <c r="Y11">
        <f t="shared" si="0"/>
        <v>1</v>
      </c>
      <c r="Z11">
        <f t="shared" si="0"/>
        <v>0.99999999989999999</v>
      </c>
      <c r="AA11">
        <f t="shared" si="0"/>
        <v>0.99999999995</v>
      </c>
      <c r="AB11">
        <f t="shared" si="0"/>
        <v>0.99474257268069077</v>
      </c>
    </row>
    <row r="12" spans="1:28" x14ac:dyDescent="0.3">
      <c r="A12" t="s">
        <v>15</v>
      </c>
      <c r="B12">
        <v>1</v>
      </c>
      <c r="C12">
        <v>0.99113300986490105</v>
      </c>
      <c r="D12">
        <v>1</v>
      </c>
      <c r="E12">
        <v>0.99999999989999999</v>
      </c>
      <c r="F12">
        <f t="shared" si="1"/>
        <v>0.99999999995</v>
      </c>
      <c r="G12">
        <f t="shared" si="2"/>
        <v>0.99554676152162203</v>
      </c>
      <c r="H12">
        <v>1</v>
      </c>
      <c r="I12">
        <v>0.99039794373217305</v>
      </c>
      <c r="J12">
        <v>1</v>
      </c>
      <c r="K12">
        <v>0.99999999989999999</v>
      </c>
      <c r="L12">
        <f t="shared" si="3"/>
        <v>0.99999999995</v>
      </c>
      <c r="M12">
        <f t="shared" si="4"/>
        <v>0.99517581079800443</v>
      </c>
      <c r="N12">
        <v>1</v>
      </c>
      <c r="O12">
        <v>0.99039794373217305</v>
      </c>
      <c r="P12">
        <v>1</v>
      </c>
      <c r="Q12">
        <v>0.99999999989999999</v>
      </c>
      <c r="R12">
        <f t="shared" si="5"/>
        <v>0.99999999995</v>
      </c>
      <c r="S12">
        <f t="shared" si="6"/>
        <v>0.99517581079800443</v>
      </c>
      <c r="V12" t="s">
        <v>15</v>
      </c>
      <c r="W12">
        <f t="shared" si="0"/>
        <v>1</v>
      </c>
      <c r="X12">
        <f t="shared" si="0"/>
        <v>0.99064296577641564</v>
      </c>
      <c r="Y12">
        <f t="shared" si="0"/>
        <v>1</v>
      </c>
      <c r="Z12">
        <f t="shared" si="0"/>
        <v>0.99999999989999999</v>
      </c>
      <c r="AA12">
        <f t="shared" si="0"/>
        <v>0.99999999995</v>
      </c>
      <c r="AB12">
        <f t="shared" si="0"/>
        <v>0.99529946103921019</v>
      </c>
    </row>
    <row r="13" spans="1:28" x14ac:dyDescent="0.3">
      <c r="A13" t="s">
        <v>16</v>
      </c>
      <c r="B13">
        <v>1</v>
      </c>
      <c r="C13">
        <v>0.96666508438728904</v>
      </c>
      <c r="D13">
        <v>1</v>
      </c>
      <c r="E13">
        <v>0.99999999989999999</v>
      </c>
      <c r="F13">
        <f t="shared" si="1"/>
        <v>0.99999999995</v>
      </c>
      <c r="G13">
        <f t="shared" si="2"/>
        <v>0.98305002927171181</v>
      </c>
      <c r="H13">
        <v>1</v>
      </c>
      <c r="I13">
        <v>0.96793506494946002</v>
      </c>
      <c r="J13">
        <v>1</v>
      </c>
      <c r="K13">
        <v>0.99999999989999999</v>
      </c>
      <c r="L13">
        <f t="shared" si="3"/>
        <v>0.99999999995</v>
      </c>
      <c r="M13">
        <f t="shared" si="4"/>
        <v>0.9837063043280021</v>
      </c>
      <c r="N13">
        <v>1</v>
      </c>
      <c r="O13">
        <v>0.96793506494946002</v>
      </c>
      <c r="P13">
        <v>1</v>
      </c>
      <c r="Q13">
        <v>0.99999999989999999</v>
      </c>
      <c r="R13">
        <f t="shared" si="5"/>
        <v>0.99999999995</v>
      </c>
      <c r="S13">
        <f t="shared" si="6"/>
        <v>0.9837063043280021</v>
      </c>
      <c r="V13" t="s">
        <v>16</v>
      </c>
      <c r="W13">
        <f t="shared" si="0"/>
        <v>1</v>
      </c>
      <c r="X13">
        <f t="shared" si="0"/>
        <v>0.96751173809540303</v>
      </c>
      <c r="Y13">
        <f t="shared" si="0"/>
        <v>1</v>
      </c>
      <c r="Z13">
        <f t="shared" si="0"/>
        <v>0.99999999989999999</v>
      </c>
      <c r="AA13">
        <f t="shared" si="0"/>
        <v>0.99999999995</v>
      </c>
      <c r="AB13">
        <f t="shared" si="0"/>
        <v>0.98348754597590526</v>
      </c>
    </row>
    <row r="14" spans="1:28" x14ac:dyDescent="0.3">
      <c r="A14" t="s">
        <v>17</v>
      </c>
      <c r="B14">
        <v>1</v>
      </c>
      <c r="C14">
        <v>0</v>
      </c>
      <c r="D14">
        <v>0</v>
      </c>
      <c r="E14">
        <v>0</v>
      </c>
      <c r="F14">
        <f t="shared" si="1"/>
        <v>0</v>
      </c>
      <c r="G14">
        <f t="shared" si="2"/>
        <v>0</v>
      </c>
      <c r="H14">
        <v>1</v>
      </c>
      <c r="I14">
        <v>0.99038457279111902</v>
      </c>
      <c r="J14">
        <v>1</v>
      </c>
      <c r="K14">
        <v>0.99999999989999999</v>
      </c>
      <c r="L14">
        <f t="shared" si="3"/>
        <v>0.99999999995</v>
      </c>
      <c r="M14">
        <f t="shared" si="4"/>
        <v>0.99516906062259247</v>
      </c>
      <c r="N14">
        <v>1</v>
      </c>
      <c r="O14">
        <v>0.99226462806329396</v>
      </c>
      <c r="P14">
        <v>1</v>
      </c>
      <c r="Q14">
        <v>0.99999999989999999</v>
      </c>
      <c r="R14">
        <f t="shared" si="5"/>
        <v>0.99999999995</v>
      </c>
      <c r="S14">
        <f t="shared" si="6"/>
        <v>0.99611729695556284</v>
      </c>
      <c r="V14" t="s">
        <v>17</v>
      </c>
      <c r="W14">
        <f t="shared" si="0"/>
        <v>1</v>
      </c>
      <c r="X14">
        <f t="shared" si="0"/>
        <v>0.66088306695147103</v>
      </c>
      <c r="Y14">
        <f t="shared" si="0"/>
        <v>0.66666666666666663</v>
      </c>
      <c r="Z14">
        <f t="shared" si="0"/>
        <v>0.66666666659999996</v>
      </c>
      <c r="AA14">
        <f>(F14 + L14 + R14)/3</f>
        <v>0.66666666663333329</v>
      </c>
      <c r="AB14">
        <f t="shared" si="0"/>
        <v>0.66376211919271844</v>
      </c>
    </row>
    <row r="15" spans="1:28" x14ac:dyDescent="0.3">
      <c r="A15" t="s">
        <v>18</v>
      </c>
      <c r="B15">
        <v>1</v>
      </c>
      <c r="C15">
        <v>0.80809183636533899</v>
      </c>
      <c r="D15">
        <v>1</v>
      </c>
      <c r="E15">
        <v>0.99999999989999999</v>
      </c>
      <c r="F15">
        <f t="shared" si="1"/>
        <v>0.99999999995</v>
      </c>
      <c r="G15">
        <f t="shared" si="2"/>
        <v>0.89386149543131699</v>
      </c>
      <c r="H15">
        <v>1</v>
      </c>
      <c r="I15">
        <v>0</v>
      </c>
      <c r="J15">
        <v>1</v>
      </c>
      <c r="K15">
        <v>0.99999999989999999</v>
      </c>
      <c r="L15">
        <f t="shared" si="3"/>
        <v>0.99999999995</v>
      </c>
      <c r="M15">
        <f t="shared" si="4"/>
        <v>0</v>
      </c>
      <c r="N15">
        <v>1</v>
      </c>
      <c r="O15">
        <v>0.80959955522988702</v>
      </c>
      <c r="P15">
        <v>1</v>
      </c>
      <c r="Q15">
        <v>0.99999999989999999</v>
      </c>
      <c r="R15">
        <f t="shared" si="5"/>
        <v>0.99999999995</v>
      </c>
      <c r="S15">
        <f t="shared" si="6"/>
        <v>0.89478310589774379</v>
      </c>
      <c r="V15" t="s">
        <v>18</v>
      </c>
      <c r="W15">
        <f t="shared" si="0"/>
        <v>1</v>
      </c>
      <c r="X15">
        <f t="shared" si="0"/>
        <v>0.53923046386507534</v>
      </c>
      <c r="Y15">
        <f t="shared" si="0"/>
        <v>1</v>
      </c>
      <c r="Z15">
        <f t="shared" si="0"/>
        <v>0.99999999989999999</v>
      </c>
      <c r="AA15">
        <f t="shared" si="0"/>
        <v>0.99999999995</v>
      </c>
      <c r="AB15">
        <f t="shared" si="0"/>
        <v>0.59621486710968696</v>
      </c>
    </row>
    <row r="16" spans="1:28" x14ac:dyDescent="0.3">
      <c r="A16" t="s">
        <v>19</v>
      </c>
      <c r="B16">
        <v>1</v>
      </c>
      <c r="C16">
        <v>0.87097150745223095</v>
      </c>
      <c r="D16">
        <v>1</v>
      </c>
      <c r="E16">
        <v>0.99999999989999999</v>
      </c>
      <c r="F16">
        <f t="shared" si="1"/>
        <v>0.99999999995</v>
      </c>
      <c r="G16">
        <f t="shared" si="2"/>
        <v>0.93103663415833005</v>
      </c>
      <c r="H16">
        <v>1</v>
      </c>
      <c r="I16">
        <v>0.87275492460724702</v>
      </c>
      <c r="J16">
        <v>1</v>
      </c>
      <c r="K16">
        <v>0.99999999989999999</v>
      </c>
      <c r="L16">
        <f t="shared" si="3"/>
        <v>0.99999999995</v>
      </c>
      <c r="M16">
        <f t="shared" si="4"/>
        <v>0.93205460377073168</v>
      </c>
      <c r="N16">
        <v>1</v>
      </c>
      <c r="O16">
        <v>0.91378211171980295</v>
      </c>
      <c r="P16">
        <v>1</v>
      </c>
      <c r="Q16">
        <v>0.99999999989999999</v>
      </c>
      <c r="R16">
        <f t="shared" si="5"/>
        <v>0.99999999995</v>
      </c>
      <c r="S16">
        <f t="shared" si="6"/>
        <v>0.95494895278192449</v>
      </c>
      <c r="V16" t="s">
        <v>19</v>
      </c>
      <c r="W16">
        <f t="shared" si="0"/>
        <v>1</v>
      </c>
      <c r="X16">
        <f t="shared" si="0"/>
        <v>0.88583618125976038</v>
      </c>
      <c r="Y16">
        <f t="shared" si="0"/>
        <v>1</v>
      </c>
      <c r="Z16">
        <f t="shared" si="0"/>
        <v>0.99999999989999999</v>
      </c>
      <c r="AA16">
        <f t="shared" si="0"/>
        <v>0.99999999995</v>
      </c>
      <c r="AB16">
        <f t="shared" si="0"/>
        <v>0.93934673023699533</v>
      </c>
    </row>
    <row r="17" spans="1:28" x14ac:dyDescent="0.3">
      <c r="A17" t="s">
        <v>20</v>
      </c>
      <c r="B17">
        <v>1</v>
      </c>
      <c r="C17">
        <v>0.99513862224880101</v>
      </c>
      <c r="D17">
        <v>1</v>
      </c>
      <c r="E17">
        <v>0.99999999989999999</v>
      </c>
      <c r="F17">
        <f t="shared" si="1"/>
        <v>0.99999999995</v>
      </c>
      <c r="G17">
        <f t="shared" si="2"/>
        <v>0.99756338847988435</v>
      </c>
      <c r="H17">
        <v>1</v>
      </c>
      <c r="I17">
        <v>0.99513872350001997</v>
      </c>
      <c r="J17">
        <v>1</v>
      </c>
      <c r="K17">
        <v>0.99999999989999999</v>
      </c>
      <c r="L17">
        <f t="shared" si="3"/>
        <v>0.99999999995</v>
      </c>
      <c r="M17">
        <f t="shared" si="4"/>
        <v>0.9975634393525018</v>
      </c>
      <c r="N17">
        <v>1</v>
      </c>
      <c r="O17">
        <v>0.99513862224880101</v>
      </c>
      <c r="P17">
        <v>1</v>
      </c>
      <c r="Q17">
        <v>0.99999999989999999</v>
      </c>
      <c r="R17">
        <f t="shared" si="5"/>
        <v>0.99999999995</v>
      </c>
      <c r="S17">
        <f t="shared" si="6"/>
        <v>0.99756338847988435</v>
      </c>
      <c r="V17" t="s">
        <v>20</v>
      </c>
      <c r="W17">
        <f t="shared" si="0"/>
        <v>1</v>
      </c>
      <c r="X17">
        <f t="shared" si="0"/>
        <v>0.99513865599920737</v>
      </c>
      <c r="Y17">
        <f t="shared" si="0"/>
        <v>1</v>
      </c>
      <c r="Z17">
        <f t="shared" si="0"/>
        <v>0.99999999989999999</v>
      </c>
      <c r="AA17">
        <f t="shared" si="0"/>
        <v>0.99999999995</v>
      </c>
      <c r="AB17">
        <f t="shared" si="0"/>
        <v>0.9975634054374235</v>
      </c>
    </row>
    <row r="18" spans="1:28" x14ac:dyDescent="0.3">
      <c r="A18" t="s">
        <v>21</v>
      </c>
      <c r="B18">
        <v>1</v>
      </c>
      <c r="C18">
        <v>0.98936274507355004</v>
      </c>
      <c r="D18">
        <v>1</v>
      </c>
      <c r="E18">
        <v>0.99999999989999999</v>
      </c>
      <c r="F18">
        <f t="shared" si="1"/>
        <v>0.99999999995</v>
      </c>
      <c r="G18">
        <f t="shared" si="2"/>
        <v>0.99465293348194439</v>
      </c>
      <c r="H18">
        <v>1</v>
      </c>
      <c r="I18">
        <v>0.98937552403933604</v>
      </c>
      <c r="J18">
        <v>1</v>
      </c>
      <c r="K18">
        <v>0.99999999989999999</v>
      </c>
      <c r="L18">
        <f t="shared" si="3"/>
        <v>0.99999999995</v>
      </c>
      <c r="M18">
        <f t="shared" si="4"/>
        <v>0.99465939143601634</v>
      </c>
      <c r="N18">
        <v>1</v>
      </c>
      <c r="O18">
        <v>0.98781309873426404</v>
      </c>
      <c r="P18">
        <v>1</v>
      </c>
      <c r="Q18">
        <v>0.99999999989999999</v>
      </c>
      <c r="R18">
        <f t="shared" si="5"/>
        <v>0.99999999995</v>
      </c>
      <c r="S18">
        <f t="shared" si="6"/>
        <v>0.99386919158873843</v>
      </c>
      <c r="V18" t="s">
        <v>21</v>
      </c>
      <c r="W18">
        <f t="shared" ref="W18:AB24" si="7">(B18 + H18 + N18)/3</f>
        <v>1</v>
      </c>
      <c r="X18">
        <f t="shared" si="7"/>
        <v>0.98885045594904997</v>
      </c>
      <c r="Y18">
        <f t="shared" si="7"/>
        <v>1</v>
      </c>
      <c r="Z18">
        <f t="shared" si="7"/>
        <v>0.99999999989999999</v>
      </c>
      <c r="AA18">
        <f t="shared" si="7"/>
        <v>0.99999999995</v>
      </c>
      <c r="AB18">
        <f t="shared" si="7"/>
        <v>0.99439383883556642</v>
      </c>
    </row>
    <row r="19" spans="1:28" x14ac:dyDescent="0.3">
      <c r="A19" t="s">
        <v>22</v>
      </c>
      <c r="B19">
        <v>1</v>
      </c>
      <c r="C19">
        <v>0.93378391600366695</v>
      </c>
      <c r="D19">
        <v>1</v>
      </c>
      <c r="E19">
        <v>0.99999999989999999</v>
      </c>
      <c r="F19">
        <f t="shared" si="1"/>
        <v>0.99999999995</v>
      </c>
      <c r="G19">
        <f t="shared" si="2"/>
        <v>0.96575828175612588</v>
      </c>
      <c r="H19">
        <v>1</v>
      </c>
      <c r="I19">
        <v>0.93378391600366695</v>
      </c>
      <c r="J19">
        <v>1</v>
      </c>
      <c r="K19">
        <v>0.99999999989999999</v>
      </c>
      <c r="L19">
        <f t="shared" si="3"/>
        <v>0.99999999995</v>
      </c>
      <c r="M19">
        <f t="shared" si="4"/>
        <v>0.96575828175612588</v>
      </c>
      <c r="N19">
        <v>1</v>
      </c>
      <c r="O19">
        <v>0.93516640570802101</v>
      </c>
      <c r="P19">
        <v>1</v>
      </c>
      <c r="Q19">
        <v>0.99999999989999999</v>
      </c>
      <c r="R19">
        <f t="shared" si="5"/>
        <v>0.99999999995</v>
      </c>
      <c r="S19">
        <f t="shared" si="6"/>
        <v>0.96649714768676009</v>
      </c>
      <c r="V19" t="s">
        <v>22</v>
      </c>
      <c r="W19">
        <f t="shared" si="7"/>
        <v>1</v>
      </c>
      <c r="X19">
        <f t="shared" si="7"/>
        <v>0.9342447459051183</v>
      </c>
      <c r="Y19">
        <f t="shared" si="7"/>
        <v>1</v>
      </c>
      <c r="Z19">
        <f t="shared" si="7"/>
        <v>0.99999999989999999</v>
      </c>
      <c r="AA19">
        <f t="shared" si="7"/>
        <v>0.99999999995</v>
      </c>
      <c r="AB19">
        <f t="shared" si="7"/>
        <v>0.96600457039967058</v>
      </c>
    </row>
    <row r="20" spans="1:28" x14ac:dyDescent="0.3">
      <c r="A20" t="s">
        <v>23</v>
      </c>
      <c r="B20">
        <v>1</v>
      </c>
      <c r="C20">
        <v>0</v>
      </c>
      <c r="D20">
        <v>0.5</v>
      </c>
      <c r="E20">
        <v>0.99999999989999999</v>
      </c>
      <c r="F20">
        <f t="shared" si="1"/>
        <v>0.66666666664444441</v>
      </c>
      <c r="G20">
        <f t="shared" si="2"/>
        <v>0</v>
      </c>
      <c r="H20">
        <v>1</v>
      </c>
      <c r="I20">
        <v>0</v>
      </c>
      <c r="J20">
        <v>0</v>
      </c>
      <c r="K20">
        <v>0.99999999989999999</v>
      </c>
      <c r="L20">
        <f t="shared" si="3"/>
        <v>0</v>
      </c>
      <c r="M20">
        <f t="shared" si="4"/>
        <v>0</v>
      </c>
      <c r="N20">
        <v>0.75</v>
      </c>
      <c r="O20">
        <v>0</v>
      </c>
      <c r="P20">
        <v>0</v>
      </c>
      <c r="Q20">
        <v>0.99999999989999999</v>
      </c>
      <c r="R20">
        <f t="shared" si="5"/>
        <v>0</v>
      </c>
      <c r="S20">
        <f t="shared" si="6"/>
        <v>0</v>
      </c>
      <c r="V20" t="s">
        <v>23</v>
      </c>
      <c r="W20">
        <f t="shared" si="7"/>
        <v>0.91666666666666663</v>
      </c>
      <c r="X20">
        <f t="shared" si="7"/>
        <v>0</v>
      </c>
      <c r="Y20">
        <f t="shared" si="7"/>
        <v>0.16666666666666666</v>
      </c>
      <c r="Z20">
        <f t="shared" si="7"/>
        <v>0.99999999989999999</v>
      </c>
      <c r="AA20">
        <f t="shared" si="7"/>
        <v>0.2222222222148148</v>
      </c>
      <c r="AB20">
        <f t="shared" si="7"/>
        <v>0</v>
      </c>
    </row>
    <row r="21" spans="1:28" x14ac:dyDescent="0.3">
      <c r="A21" t="s">
        <v>24</v>
      </c>
      <c r="B21">
        <v>1</v>
      </c>
      <c r="C21">
        <v>0</v>
      </c>
      <c r="D21">
        <v>0.33333333333333298</v>
      </c>
      <c r="E21">
        <v>0.99999999989999999</v>
      </c>
      <c r="F21">
        <f t="shared" si="1"/>
        <v>0.49999999998749955</v>
      </c>
      <c r="G21">
        <f t="shared" si="2"/>
        <v>0</v>
      </c>
      <c r="H21">
        <v>1</v>
      </c>
      <c r="I21">
        <v>0</v>
      </c>
      <c r="J21">
        <v>0.33333333333333298</v>
      </c>
      <c r="K21">
        <v>0</v>
      </c>
      <c r="L21">
        <f t="shared" si="3"/>
        <v>0</v>
      </c>
      <c r="M21">
        <f t="shared" si="4"/>
        <v>0</v>
      </c>
      <c r="N21">
        <v>1</v>
      </c>
      <c r="O21">
        <v>0</v>
      </c>
      <c r="P21">
        <v>0.33333333333333298</v>
      </c>
      <c r="Q21">
        <v>0</v>
      </c>
      <c r="R21">
        <f t="shared" si="5"/>
        <v>0</v>
      </c>
      <c r="S21">
        <f t="shared" si="6"/>
        <v>0</v>
      </c>
      <c r="V21" t="s">
        <v>24</v>
      </c>
      <c r="W21">
        <f t="shared" si="7"/>
        <v>1</v>
      </c>
      <c r="X21">
        <f t="shared" si="7"/>
        <v>0</v>
      </c>
      <c r="Y21">
        <f t="shared" si="7"/>
        <v>0.33333333333333298</v>
      </c>
      <c r="Z21">
        <f t="shared" si="7"/>
        <v>0.33333333329999998</v>
      </c>
      <c r="AA21">
        <f t="shared" si="7"/>
        <v>0.16666666666249985</v>
      </c>
      <c r="AB21">
        <f t="shared" si="7"/>
        <v>0</v>
      </c>
    </row>
    <row r="22" spans="1:28" x14ac:dyDescent="0.3">
      <c r="A22" t="s">
        <v>25</v>
      </c>
      <c r="B22">
        <v>1</v>
      </c>
      <c r="C22">
        <v>0</v>
      </c>
      <c r="D22">
        <v>0</v>
      </c>
      <c r="E22">
        <v>0.99999999989999999</v>
      </c>
      <c r="F22">
        <f t="shared" si="1"/>
        <v>0</v>
      </c>
      <c r="G22">
        <f t="shared" si="2"/>
        <v>0</v>
      </c>
      <c r="H22">
        <v>1</v>
      </c>
      <c r="I22">
        <v>0</v>
      </c>
      <c r="J22">
        <v>0</v>
      </c>
      <c r="K22">
        <v>0.99999999989999999</v>
      </c>
      <c r="L22">
        <f t="shared" si="3"/>
        <v>0</v>
      </c>
      <c r="M22">
        <f t="shared" si="4"/>
        <v>0</v>
      </c>
      <c r="N22">
        <v>1</v>
      </c>
      <c r="O22">
        <v>0</v>
      </c>
      <c r="P22">
        <v>0</v>
      </c>
      <c r="Q22">
        <v>0.99999999989999999</v>
      </c>
      <c r="R22">
        <f t="shared" si="5"/>
        <v>0</v>
      </c>
      <c r="S22">
        <f t="shared" si="6"/>
        <v>0</v>
      </c>
      <c r="V22" t="s">
        <v>25</v>
      </c>
      <c r="W22">
        <f t="shared" si="7"/>
        <v>1</v>
      </c>
      <c r="X22">
        <f t="shared" si="7"/>
        <v>0</v>
      </c>
      <c r="Y22">
        <f t="shared" si="7"/>
        <v>0</v>
      </c>
      <c r="Z22">
        <f t="shared" si="7"/>
        <v>0.99999999989999999</v>
      </c>
      <c r="AA22">
        <f t="shared" si="7"/>
        <v>0</v>
      </c>
      <c r="AB22">
        <f t="shared" si="7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2026-03-30T16:27:10Z</dcterms:modified>
</cp:coreProperties>
</file>