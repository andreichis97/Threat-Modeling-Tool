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I45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6" i="1"/>
  <c r="I47" i="1"/>
  <c r="I48" i="1"/>
  <c r="I49" i="1"/>
  <c r="I50" i="1"/>
  <c r="I51" i="1"/>
  <c r="I52" i="1"/>
  <c r="I53" i="1"/>
  <c r="I54" i="1"/>
  <c r="I55" i="1"/>
  <c r="I56" i="1"/>
  <c r="J2" i="1"/>
  <c r="I2" i="1"/>
  <c r="P3" i="1" l="1"/>
  <c r="Q9" i="1"/>
  <c r="P10" i="1"/>
  <c r="Q4" i="1"/>
  <c r="P5" i="1"/>
  <c r="Q6" i="1"/>
  <c r="P12" i="1"/>
  <c r="P7" i="1"/>
  <c r="Q8" i="1"/>
  <c r="Q3" i="1"/>
  <c r="P4" i="1"/>
  <c r="Q10" i="1"/>
  <c r="Q5" i="1"/>
  <c r="Q11" i="1"/>
  <c r="P9" i="1"/>
  <c r="P11" i="1"/>
  <c r="Q12" i="1"/>
  <c r="P2" i="1"/>
  <c r="Q7" i="1"/>
  <c r="P6" i="1"/>
  <c r="Q2" i="1"/>
  <c r="P8" i="1"/>
  <c r="Q15" i="1" l="1"/>
  <c r="P15" i="1"/>
</calcChain>
</file>

<file path=xl/sharedStrings.xml><?xml version="1.0" encoding="utf-8"?>
<sst xmlns="http://schemas.openxmlformats.org/spreadsheetml/2006/main" count="82" uniqueCount="75">
  <si>
    <t>question</t>
  </si>
  <si>
    <t>time</t>
  </si>
  <si>
    <t>cost</t>
  </si>
  <si>
    <t>What is the risk level of "Carrier Identity Spoofing"?</t>
  </si>
  <si>
    <t>What is the protocol used by "Receipt Delivery"?</t>
  </si>
  <si>
    <t>What is the protocol used by "Customer Profile Lookup"?</t>
  </si>
  <si>
    <t>What is the cost of "Immutable Append-Only Log Storage"?</t>
  </si>
  <si>
    <t>What is the implementation status of "Return Eligibility Verification Engine"?</t>
  </si>
  <si>
    <t>Which data flows are inputs to "Screen for Fraud"?</t>
  </si>
  <si>
    <t>Which data store receives "Refund Execution Audit Entry"?</t>
  </si>
  <si>
    <t>Which is the following task after "Ship Order"?</t>
  </si>
  <si>
    <t>Which is the following task after "Display Return Policy"?</t>
  </si>
  <si>
    <t>Which are the possible mitigations for threat "Payment Data Tampering in Transit"?</t>
  </si>
  <si>
    <t>What threats are linked to "Generate Delivery Milestone"?</t>
  </si>
  <si>
    <t>What categories are the mitigations which can counter threat named "Sensitive Data Leakage in Receipts"?</t>
  </si>
  <si>
    <t>Which trust boundaries are crossed by the data flows that are input to "Execute Refund"?</t>
  </si>
  <si>
    <t>What trust zone does the data store that stores "Payment Record Storage" reside in?</t>
  </si>
  <si>
    <t>What mitigations are implemented to data store "Fraud Rules Repository"?</t>
  </si>
  <si>
    <t>What threats impact the data flows which are outputted by the process "Execute Payment Transaction"?</t>
  </si>
  <si>
    <t>What threats impact the data flows which cross the trust boundary named "Internal Order Management Zone (1)"?</t>
  </si>
  <si>
    <t>What mitigations are implemented for the processes residing in trust zone named "Internal Network Boundary (2)"?</t>
  </si>
  <si>
    <t>What mitigations secure the data flows stored by the data store "Customer Database"?</t>
  </si>
  <si>
    <t>What threats impact the external entity which sends the data flow named "Carrier Tracking Update"?</t>
  </si>
  <si>
    <t>What categories are the threats impacting the data flows which are outputs of the process "Publish Approved Review"?</t>
  </si>
  <si>
    <t>What categories are the mitigations which can counter the threats affecting data store "Audit Log"?</t>
  </si>
  <si>
    <t>What categories are the mitigations which can counter the threats affecting data store "Order and Shipment Database"?</t>
  </si>
  <si>
    <t>What threats impact the process which outputs the data flow which is stored by data store "Inventory Database"?</t>
  </si>
  <si>
    <t>What mitigations are used for the process which outputs the data flow that is taken as input by process "Assess Return Eligibility"?</t>
  </si>
  <si>
    <t>What are the external entities from the "Process Payment" BPMN Sub-Process?</t>
  </si>
  <si>
    <t>What are the data stores from the "Manage Customer Profile" BPMN Sub-Process?</t>
  </si>
  <si>
    <t>What threats affect the processes from the DFD decomposition of "Process Tracking Update &amp; Notify Customer" BPMN Sub-Process?</t>
  </si>
  <si>
    <t>What are the threats and risk levels of threats affecting processes from the DFD decomposition of "Submit and Moderate Review" BPMN Sub-Process?</t>
  </si>
  <si>
    <t>What are the trust zones from the DFD Decomposition of "Process Return &amp; Issue Refund" BPMN Sub-Process?</t>
  </si>
  <si>
    <t>What threats affect the "Screen for Fraud" process?</t>
  </si>
  <si>
    <t>What are the threats affecting the "Execute Payment Transaction" process?</t>
  </si>
  <si>
    <t>What are the threats affecting the "Session Store" data store?</t>
  </si>
  <si>
    <t>What are the threats affecting the "Content Moderation Service (ModerateAI)" external entity?</t>
  </si>
  <si>
    <t>What are the threats affecting the "Order and Shipment Database" data store?</t>
  </si>
  <si>
    <t>Which threats can "Immutable Append-Only Log Storage" mitigate?</t>
  </si>
  <si>
    <t>Which mitigations are defined for "Transaction Repudiation"?</t>
  </si>
  <si>
    <t>Which mitigations are defined for "Refund Amount Escalation"?</t>
  </si>
  <si>
    <t>Which threats does "Carrier API Key Authentication and IP Allowlisting" mitigate?</t>
  </si>
  <si>
    <t>Which mitigations are defined for "Refund Repudiation"?</t>
  </si>
  <si>
    <t>To what processes is the external entity "Customer" sending data flows across all cases?</t>
  </si>
  <si>
    <t>What data flows are being sent by external entity "Payment Gateway Provider (StripeConnect)" across all cases?</t>
  </si>
  <si>
    <t>To what threats is the data store "Customer Database" exposed across all cases?</t>
  </si>
  <si>
    <t>What mitigations are defined for the data flows stored by data store "Audit Log" across all cases?</t>
  </si>
  <si>
    <t>What threats are being mitigated by mitigation "Comprehensive Transaction Logging" across all cases?</t>
  </si>
  <si>
    <t>Trace the path from process "Screen for Fraud" to data store "Payment Records".</t>
  </si>
  <si>
    <t>Trace the path from external entity "Payment Gateway Provider (StripeConnect)" to external entity "Customer".</t>
  </si>
  <si>
    <t>Trace the path from external entity "Customer" to external entity "Email Delivery Service (SendGrid)".</t>
  </si>
  <si>
    <t>Trace the path from process "Receive and Validate Review" to data store "Product Reviews Database".</t>
  </si>
  <si>
    <t>Trace the path from process "Validate Return Request" to external entity "Payment Gateway Provider (StripeConnect)".</t>
  </si>
  <si>
    <t>What is the risk level of "Carrier Identity Spoofing", and what trust boundary does "Ingest &amp; Validate Carrier Update" reside in?</t>
  </si>
  <si>
    <t>Which mitigations are linked to "Refund Repudiation", and what protocol is used by "Refund Authorization Request"?</t>
  </si>
  <si>
    <t>What threats affect "Screen for Fraud" and what mitigations are applied to "Fraud Rules Repository"?</t>
  </si>
  <si>
    <t>What trust boundaries are crossed by "Approved Payment Request" and what threats affect "Generate Payment Receipt"?</t>
  </si>
  <si>
    <t>What is the implementation status of "Return Eligibility Verification Engine", and what data store receives "Return Processing Audit Entry"?</t>
  </si>
  <si>
    <t>ID</t>
  </si>
  <si>
    <t>Avg time</t>
  </si>
  <si>
    <t>Avg cost</t>
  </si>
  <si>
    <t>Category</t>
  </si>
  <si>
    <t>Direct relation queries</t>
  </si>
  <si>
    <t>1 hop relationship traversal queries</t>
  </si>
  <si>
    <t>2 hop relationship traversal queries</t>
  </si>
  <si>
    <t>3 hop relationship traversal queries</t>
  </si>
  <si>
    <t>4 hop relationship traversal queries</t>
  </si>
  <si>
    <t>BPMN to DFD decomposition traceability queries</t>
  </si>
  <si>
    <t>Threat-to-Element Mapping</t>
  </si>
  <si>
    <t>Mitigation-to-Threat Mapping</t>
  </si>
  <si>
    <t>Cross-case reuse and same-entity traceability queries</t>
  </si>
  <si>
    <t>Multi-hop end-to-end path queries</t>
  </si>
  <si>
    <t>Multiple intent questions</t>
  </si>
  <si>
    <t>Avg time total</t>
  </si>
  <si>
    <t>Avg cost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</si>
</sst>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Font="1"/>
    <xf numFmtId="2" fontId="0" fillId="2" borderId="0" xfId="0" applyNumberFormat="1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6"/>
  <sheetViews>
    <sheetView tabSelected="1" workbookViewId="0">
      <selection activeCell="M20" sqref="M20"/>
    </sheetView>
  </sheetViews>
  <sheetFormatPr defaultRowHeight="14.4" x14ac:dyDescent="0.3"/>
  <sheetData>
    <row r="1" spans="1:17" x14ac:dyDescent="0.3">
      <c r="A1" t="s">
        <v>58</v>
      </c>
      <c r="B1" t="s">
        <v>0</v>
      </c>
      <c r="C1" t="s">
        <v>1</v>
      </c>
      <c r="D1" t="s">
        <v>2</v>
      </c>
      <c r="E1" t="s">
        <v>1</v>
      </c>
      <c r="F1" t="s">
        <v>2</v>
      </c>
      <c r="G1" t="s">
        <v>1</v>
      </c>
      <c r="H1" t="s">
        <v>2</v>
      </c>
      <c r="I1" s="1" t="s">
        <v>59</v>
      </c>
      <c r="J1" s="1" t="s">
        <v>60</v>
      </c>
      <c r="N1" t="s">
        <v>58</v>
      </c>
      <c r="O1" t="s">
        <v>61</v>
      </c>
      <c r="P1" t="s">
        <v>59</v>
      </c>
      <c r="Q1" t="s">
        <v>60</v>
      </c>
    </row>
    <row r="2" spans="1:17" x14ac:dyDescent="0.3">
      <c r="A2">
        <v>1</v>
      </c>
      <c r="B2" t="s">
        <v>3</v>
      </c>
      <c r="C2">
        <v>8.6882150173187203</v>
      </c>
      <c r="D2">
        <v>0.114498</v>
      </c>
      <c r="E2">
        <v>9.2276241779327393</v>
      </c>
      <c r="F2">
        <v>0.114498</v>
      </c>
      <c r="G2">
        <v>11.962844133377001</v>
      </c>
      <c r="H2">
        <v>0.114498</v>
      </c>
      <c r="I2" s="3">
        <f>(C2+E2+G2)/3</f>
        <v>9.95956110954282</v>
      </c>
      <c r="J2" s="3">
        <f>(D2+F2+H2)/3</f>
        <v>0.114498</v>
      </c>
      <c r="N2">
        <v>1</v>
      </c>
      <c r="O2" s="2" t="s">
        <v>62</v>
      </c>
      <c r="P2" s="4">
        <f>(I2+I3+I4+I5+I6)/5</f>
        <v>8.0818548838297435</v>
      </c>
      <c r="Q2" s="4">
        <f>(J2+J3+J4+J5+J6)/5</f>
        <v>0.13410333333333313</v>
      </c>
    </row>
    <row r="3" spans="1:17" x14ac:dyDescent="0.3">
      <c r="A3">
        <v>2</v>
      </c>
      <c r="B3" t="s">
        <v>4</v>
      </c>
      <c r="C3">
        <v>5.90140628814697</v>
      </c>
      <c r="D3">
        <v>0.164384</v>
      </c>
      <c r="E3">
        <v>7.3882570266723597</v>
      </c>
      <c r="F3">
        <v>0.164384</v>
      </c>
      <c r="G3">
        <v>5.9626255035400302</v>
      </c>
      <c r="H3">
        <v>0.164384</v>
      </c>
      <c r="I3" s="3">
        <f t="shared" ref="I3:I56" si="0">(C3+E3+G3)/3</f>
        <v>6.4174296061197866</v>
      </c>
      <c r="J3" s="3">
        <f t="shared" ref="J3:J56" si="1">(D3+F3+H3)/3</f>
        <v>0.164384</v>
      </c>
      <c r="N3">
        <v>2</v>
      </c>
      <c r="O3" s="2" t="s">
        <v>63</v>
      </c>
      <c r="P3" s="4">
        <f>(I7+I8+I9+I10+I11)/5</f>
        <v>7.8198991775512523</v>
      </c>
      <c r="Q3" s="4">
        <f>(J7+J8+J9+J10+J11)/5</f>
        <v>0.11014333333333333</v>
      </c>
    </row>
    <row r="4" spans="1:17" x14ac:dyDescent="0.3">
      <c r="A4">
        <v>3</v>
      </c>
      <c r="B4" t="s">
        <v>5</v>
      </c>
      <c r="C4">
        <v>6.0312120914459202</v>
      </c>
      <c r="D4">
        <v>0.16252999999999901</v>
      </c>
      <c r="E4">
        <v>5.8702547550201398</v>
      </c>
      <c r="F4">
        <v>0.162441999999999</v>
      </c>
      <c r="G4">
        <v>5.7424130439758301</v>
      </c>
      <c r="H4">
        <v>0.16252999999999901</v>
      </c>
      <c r="I4" s="3">
        <f t="shared" si="0"/>
        <v>5.881293296813964</v>
      </c>
      <c r="J4" s="3">
        <f t="shared" si="1"/>
        <v>0.16250066666666568</v>
      </c>
      <c r="N4">
        <v>3</v>
      </c>
      <c r="O4" s="2" t="s">
        <v>64</v>
      </c>
      <c r="P4" s="4">
        <f>(I12+I13+I14+I15+I16)/5</f>
        <v>10.181169732411675</v>
      </c>
      <c r="Q4" s="4">
        <f>(J12+J13+J14+J15+J16)/5</f>
        <v>0.1893075999999998</v>
      </c>
    </row>
    <row r="5" spans="1:17" x14ac:dyDescent="0.3">
      <c r="A5">
        <v>4</v>
      </c>
      <c r="B5" t="s">
        <v>6</v>
      </c>
      <c r="C5">
        <v>12.843631029129</v>
      </c>
      <c r="D5">
        <v>0.114714</v>
      </c>
      <c r="E5">
        <v>9.84004807472229</v>
      </c>
      <c r="F5">
        <v>0.114714</v>
      </c>
      <c r="G5">
        <v>7.8494453430175701</v>
      </c>
      <c r="H5">
        <v>0.114714</v>
      </c>
      <c r="I5" s="3">
        <f t="shared" si="0"/>
        <v>10.177708148956286</v>
      </c>
      <c r="J5" s="3">
        <f t="shared" si="1"/>
        <v>0.114714</v>
      </c>
      <c r="N5">
        <v>4</v>
      </c>
      <c r="O5" s="2" t="s">
        <v>65</v>
      </c>
      <c r="P5" s="4">
        <f>(I17+I18+I19+I20+I21)/5</f>
        <v>11.50962473551427</v>
      </c>
      <c r="Q5" s="4">
        <f>(J17+J18+J19+J20+J21)/5</f>
        <v>0.22599439999999998</v>
      </c>
    </row>
    <row r="6" spans="1:17" x14ac:dyDescent="0.3">
      <c r="A6">
        <v>5</v>
      </c>
      <c r="B6" t="s">
        <v>7</v>
      </c>
      <c r="C6">
        <v>7.9626801013946498</v>
      </c>
      <c r="D6">
        <v>0.11441999999999999</v>
      </c>
      <c r="E6">
        <v>7.2939162254333496</v>
      </c>
      <c r="F6">
        <v>0.11441999999999999</v>
      </c>
      <c r="G6">
        <v>8.6632504463195801</v>
      </c>
      <c r="H6">
        <v>0.11441999999999999</v>
      </c>
      <c r="I6" s="3">
        <f t="shared" si="0"/>
        <v>7.9732822577158595</v>
      </c>
      <c r="J6" s="3">
        <f t="shared" si="1"/>
        <v>0.11442000000000001</v>
      </c>
      <c r="N6">
        <v>5</v>
      </c>
      <c r="O6" s="2" t="s">
        <v>66</v>
      </c>
      <c r="P6" s="4">
        <f>(I22+I23+I24+I25+I26)/5</f>
        <v>13.066916656494101</v>
      </c>
      <c r="Q6" s="4">
        <f>(J22+J23+J24+J25+J26)/5</f>
        <v>0.32557013333333334</v>
      </c>
    </row>
    <row r="7" spans="1:17" x14ac:dyDescent="0.3">
      <c r="A7">
        <v>6</v>
      </c>
      <c r="B7" t="s">
        <v>8</v>
      </c>
      <c r="C7">
        <v>12.6877560615539</v>
      </c>
      <c r="D7">
        <v>0.16112599999999999</v>
      </c>
      <c r="E7">
        <v>10.929347991943301</v>
      </c>
      <c r="F7">
        <v>0.16112599999999999</v>
      </c>
      <c r="G7">
        <v>11.3364543914794</v>
      </c>
      <c r="H7">
        <v>0.16112599999999999</v>
      </c>
      <c r="I7" s="3">
        <f t="shared" si="0"/>
        <v>11.651186148325534</v>
      </c>
      <c r="J7" s="3">
        <f t="shared" si="1"/>
        <v>0.16112599999999999</v>
      </c>
      <c r="N7">
        <v>6</v>
      </c>
      <c r="O7" s="2" t="s">
        <v>67</v>
      </c>
      <c r="P7" s="4">
        <f>(I27+I28+I29+I30+I31)/5</f>
        <v>9.1954301357269124</v>
      </c>
      <c r="Q7" s="4">
        <f>(J27+J28+J29+J30+J31)/5</f>
        <v>1.648719999999998E-2</v>
      </c>
    </row>
    <row r="8" spans="1:17" x14ac:dyDescent="0.3">
      <c r="A8">
        <v>7</v>
      </c>
      <c r="B8" t="s">
        <v>9</v>
      </c>
      <c r="C8">
        <v>7.2494101524353001</v>
      </c>
      <c r="D8">
        <v>0.16422800000000001</v>
      </c>
      <c r="E8">
        <v>6.6941254138946498</v>
      </c>
      <c r="F8">
        <v>0.16422800000000001</v>
      </c>
      <c r="G8">
        <v>6.3095467090606601</v>
      </c>
      <c r="H8">
        <v>0.16422800000000001</v>
      </c>
      <c r="I8" s="3">
        <f t="shared" si="0"/>
        <v>6.7510274251302036</v>
      </c>
      <c r="J8" s="3">
        <f t="shared" si="1"/>
        <v>0.16422800000000001</v>
      </c>
      <c r="N8">
        <v>7</v>
      </c>
      <c r="O8" s="2" t="s">
        <v>68</v>
      </c>
      <c r="P8" s="4">
        <f>(I32+I33+I34+I35+I36)/5</f>
        <v>11.615872097015339</v>
      </c>
      <c r="Q8" s="4">
        <f>(J32+J33+J34+J35+J36)/5</f>
        <v>0.15704306666666648</v>
      </c>
    </row>
    <row r="9" spans="1:17" x14ac:dyDescent="0.3">
      <c r="A9">
        <v>8</v>
      </c>
      <c r="B9" t="s">
        <v>10</v>
      </c>
      <c r="C9">
        <v>6.4488625526428196</v>
      </c>
      <c r="D9">
        <v>5.4947999999999997E-2</v>
      </c>
      <c r="E9">
        <v>5.0572042465209899</v>
      </c>
      <c r="F9">
        <v>5.4955999999999998E-2</v>
      </c>
      <c r="G9">
        <v>5.71356129646301</v>
      </c>
      <c r="H9">
        <v>5.4918000000000002E-2</v>
      </c>
      <c r="I9" s="3">
        <f t="shared" si="0"/>
        <v>5.7398760318756068</v>
      </c>
      <c r="J9" s="3">
        <f t="shared" si="1"/>
        <v>5.4940666666666665E-2</v>
      </c>
      <c r="N9">
        <v>8</v>
      </c>
      <c r="O9" s="2" t="s">
        <v>69</v>
      </c>
      <c r="P9" s="4">
        <f>(I37+I38+I39+I40+I41)/5</f>
        <v>9.030219237009673</v>
      </c>
      <c r="Q9" s="4">
        <f>(J37+J38+J39+J40+J41)/5</f>
        <v>0.11471693333333326</v>
      </c>
    </row>
    <row r="10" spans="1:17" x14ac:dyDescent="0.3">
      <c r="A10">
        <v>9</v>
      </c>
      <c r="B10" t="s">
        <v>11</v>
      </c>
      <c r="C10">
        <v>7.4519133567809996</v>
      </c>
      <c r="D10">
        <v>5.5724000000000003E-2</v>
      </c>
      <c r="E10">
        <v>5.4512574672698904</v>
      </c>
      <c r="F10">
        <v>5.5724000000000003E-2</v>
      </c>
      <c r="G10">
        <v>5.5530152320861799</v>
      </c>
      <c r="H10">
        <v>5.5724000000000003E-2</v>
      </c>
      <c r="I10" s="3">
        <f t="shared" si="0"/>
        <v>6.1520620187123569</v>
      </c>
      <c r="J10" s="3">
        <f t="shared" si="1"/>
        <v>5.5724000000000003E-2</v>
      </c>
      <c r="N10">
        <v>9</v>
      </c>
      <c r="O10" s="2" t="s">
        <v>70</v>
      </c>
      <c r="P10" s="4">
        <f>(I42+I43+I44+I45+I46)/5</f>
        <v>10.684149058659841</v>
      </c>
      <c r="Q10" s="4">
        <f>(J42+J43+J44+J45+J46)/5</f>
        <v>0.15080853333333333</v>
      </c>
    </row>
    <row r="11" spans="1:17" x14ac:dyDescent="0.3">
      <c r="A11">
        <v>10</v>
      </c>
      <c r="B11" t="s">
        <v>12</v>
      </c>
      <c r="C11">
        <v>8.78126764297485</v>
      </c>
      <c r="D11">
        <v>0.11469799999999999</v>
      </c>
      <c r="E11">
        <v>8.6074979305267298</v>
      </c>
      <c r="F11">
        <v>0.11469799999999999</v>
      </c>
      <c r="G11">
        <v>9.0272672176360995</v>
      </c>
      <c r="H11">
        <v>0.11469799999999999</v>
      </c>
      <c r="I11" s="3">
        <f t="shared" si="0"/>
        <v>8.805344263712561</v>
      </c>
      <c r="J11" s="3">
        <f t="shared" si="1"/>
        <v>0.11469800000000001</v>
      </c>
      <c r="N11">
        <v>10</v>
      </c>
      <c r="O11" s="2" t="s">
        <v>71</v>
      </c>
      <c r="P11" s="4">
        <f>(I47+I48+I49+I50+I51)/5</f>
        <v>11.474475351969353</v>
      </c>
      <c r="Q11" s="4">
        <f>(J47+J48+J49+J50+J51)/5</f>
        <v>0.30839053333333327</v>
      </c>
    </row>
    <row r="12" spans="1:17" x14ac:dyDescent="0.3">
      <c r="A12">
        <v>11</v>
      </c>
      <c r="B12" t="s">
        <v>13</v>
      </c>
      <c r="C12">
        <v>11.120156049728299</v>
      </c>
      <c r="D12">
        <v>0.15922</v>
      </c>
      <c r="E12">
        <v>11.4371349811553</v>
      </c>
      <c r="F12">
        <v>0.159332</v>
      </c>
      <c r="G12">
        <v>10.7877447605133</v>
      </c>
      <c r="H12">
        <v>0.15922</v>
      </c>
      <c r="I12" s="3">
        <f t="shared" si="0"/>
        <v>11.115011930465633</v>
      </c>
      <c r="J12" s="3">
        <f t="shared" si="1"/>
        <v>0.15925733333333333</v>
      </c>
      <c r="N12">
        <v>11</v>
      </c>
      <c r="O12" s="2" t="s">
        <v>72</v>
      </c>
      <c r="P12" s="4">
        <f>(I52+I53+I54+I55+I56)/5</f>
        <v>12.441922362645425</v>
      </c>
      <c r="Q12" s="4">
        <f>(J52+J53+J54+J55+J56)/5</f>
        <v>0.29190546666666645</v>
      </c>
    </row>
    <row r="13" spans="1:17" x14ac:dyDescent="0.3">
      <c r="A13">
        <v>12</v>
      </c>
      <c r="B13" t="s">
        <v>14</v>
      </c>
      <c r="C13">
        <v>8.9470176696777308</v>
      </c>
      <c r="D13">
        <v>0.22583800000000001</v>
      </c>
      <c r="E13">
        <v>7.9491989612579301</v>
      </c>
      <c r="F13">
        <v>0.114536</v>
      </c>
      <c r="G13">
        <v>8.4827208518981898</v>
      </c>
      <c r="H13">
        <v>0.114672</v>
      </c>
      <c r="I13" s="3">
        <f t="shared" si="0"/>
        <v>8.4596458276112845</v>
      </c>
      <c r="J13" s="3">
        <f t="shared" si="1"/>
        <v>0.15168200000000001</v>
      </c>
    </row>
    <row r="14" spans="1:17" x14ac:dyDescent="0.3">
      <c r="A14">
        <v>13</v>
      </c>
      <c r="B14" t="s">
        <v>15</v>
      </c>
      <c r="C14">
        <v>11.8983697891235</v>
      </c>
      <c r="D14">
        <v>0.31619599999999998</v>
      </c>
      <c r="E14">
        <v>15.862643957137999</v>
      </c>
      <c r="F14">
        <v>0.31619599999999998</v>
      </c>
      <c r="G14">
        <v>11.4927384853363</v>
      </c>
      <c r="H14">
        <v>0.31615599999999999</v>
      </c>
      <c r="I14" s="3">
        <f t="shared" si="0"/>
        <v>13.084584077199267</v>
      </c>
      <c r="J14" s="3">
        <f t="shared" si="1"/>
        <v>0.31618266666666667</v>
      </c>
      <c r="P14" t="s">
        <v>73</v>
      </c>
      <c r="Q14" t="s">
        <v>74</v>
      </c>
    </row>
    <row r="15" spans="1:17" x14ac:dyDescent="0.3">
      <c r="A15">
        <v>14</v>
      </c>
      <c r="B15" t="s">
        <v>16</v>
      </c>
      <c r="C15">
        <v>7.3729095458984304</v>
      </c>
      <c r="D15">
        <v>0.162329999999999</v>
      </c>
      <c r="E15">
        <v>7.8644781112670898</v>
      </c>
      <c r="F15">
        <v>0.16236199999999901</v>
      </c>
      <c r="G15">
        <v>6.1675117015838596</v>
      </c>
      <c r="H15">
        <v>0.162329999999999</v>
      </c>
      <c r="I15" s="3">
        <f t="shared" si="0"/>
        <v>7.1349664529164594</v>
      </c>
      <c r="J15" s="3">
        <f t="shared" si="1"/>
        <v>0.16234066666666566</v>
      </c>
      <c r="P15" s="4">
        <f>SUM(P2:P12)/11</f>
        <v>10.463775766257053</v>
      </c>
      <c r="Q15" s="4">
        <f>SUM(Q2:Q12)/11</f>
        <v>0.18404277575757566</v>
      </c>
    </row>
    <row r="16" spans="1:17" x14ac:dyDescent="0.3">
      <c r="A16">
        <v>15</v>
      </c>
      <c r="B16" t="s">
        <v>17</v>
      </c>
      <c r="C16">
        <v>10.508920192718501</v>
      </c>
      <c r="D16">
        <v>0.15726200000000001</v>
      </c>
      <c r="E16">
        <v>11.586743116378701</v>
      </c>
      <c r="F16">
        <v>0.15698200000000001</v>
      </c>
      <c r="G16">
        <v>11.2392578125</v>
      </c>
      <c r="H16">
        <v>0.15698200000000001</v>
      </c>
      <c r="I16" s="3">
        <f t="shared" si="0"/>
        <v>11.111640373865734</v>
      </c>
      <c r="J16" s="3">
        <f t="shared" si="1"/>
        <v>0.15707533333333334</v>
      </c>
    </row>
    <row r="17" spans="1:10" x14ac:dyDescent="0.3">
      <c r="A17">
        <v>16</v>
      </c>
      <c r="B17" t="s">
        <v>18</v>
      </c>
      <c r="C17">
        <v>12.6544613838195</v>
      </c>
      <c r="D17">
        <v>0.15953200000000001</v>
      </c>
      <c r="E17">
        <v>16.3146681785583</v>
      </c>
      <c r="F17">
        <v>0.160168</v>
      </c>
      <c r="G17">
        <v>12.8365068435668</v>
      </c>
      <c r="H17">
        <v>0.15979599999999999</v>
      </c>
      <c r="I17" s="3">
        <f t="shared" si="0"/>
        <v>13.935212135314869</v>
      </c>
      <c r="J17" s="3">
        <f t="shared" si="1"/>
        <v>0.159832</v>
      </c>
    </row>
    <row r="18" spans="1:10" x14ac:dyDescent="0.3">
      <c r="A18">
        <v>17</v>
      </c>
      <c r="B18" t="s">
        <v>19</v>
      </c>
      <c r="C18">
        <v>12.9284651279449</v>
      </c>
      <c r="D18">
        <v>0.321434</v>
      </c>
      <c r="E18">
        <v>11.650810956954899</v>
      </c>
      <c r="F18">
        <v>0.32136999999999999</v>
      </c>
      <c r="G18">
        <v>11.738736867904599</v>
      </c>
      <c r="H18">
        <v>0.321378</v>
      </c>
      <c r="I18" s="3">
        <f t="shared" si="0"/>
        <v>12.106004317601466</v>
      </c>
      <c r="J18" s="3">
        <f t="shared" si="1"/>
        <v>0.32139399999999996</v>
      </c>
    </row>
    <row r="19" spans="1:10" x14ac:dyDescent="0.3">
      <c r="A19">
        <v>18</v>
      </c>
      <c r="B19" t="s">
        <v>20</v>
      </c>
      <c r="C19">
        <v>12.8340628147125</v>
      </c>
      <c r="D19">
        <v>0.32298199999999999</v>
      </c>
      <c r="E19">
        <v>11.9320981502532</v>
      </c>
      <c r="F19">
        <v>0.32327800000000001</v>
      </c>
      <c r="G19">
        <v>13.0063135623931</v>
      </c>
      <c r="H19">
        <v>0.32339800000000002</v>
      </c>
      <c r="I19" s="3">
        <f t="shared" si="0"/>
        <v>12.590824842452932</v>
      </c>
      <c r="J19" s="3">
        <f t="shared" si="1"/>
        <v>0.32321933333333336</v>
      </c>
    </row>
    <row r="20" spans="1:10" x14ac:dyDescent="0.3">
      <c r="A20">
        <v>19</v>
      </c>
      <c r="B20" t="s">
        <v>21</v>
      </c>
      <c r="C20">
        <v>11.720679998397801</v>
      </c>
      <c r="D20">
        <v>0.16091800000000001</v>
      </c>
      <c r="E20">
        <v>10.329554557800201</v>
      </c>
      <c r="F20">
        <v>0.160606</v>
      </c>
      <c r="G20">
        <v>11.9714772701263</v>
      </c>
      <c r="H20">
        <v>0.16059799999999999</v>
      </c>
      <c r="I20" s="3">
        <f t="shared" si="0"/>
        <v>11.340570608774767</v>
      </c>
      <c r="J20" s="3">
        <f t="shared" si="1"/>
        <v>0.16070733333333334</v>
      </c>
    </row>
    <row r="21" spans="1:10" x14ac:dyDescent="0.3">
      <c r="A21">
        <v>20</v>
      </c>
      <c r="B21" t="s">
        <v>22</v>
      </c>
      <c r="C21">
        <v>8.5523619651794398</v>
      </c>
      <c r="D21">
        <v>0.164798</v>
      </c>
      <c r="E21">
        <v>6.7872176170349103</v>
      </c>
      <c r="F21">
        <v>0.16486200000000001</v>
      </c>
      <c r="G21">
        <v>7.3869557380676198</v>
      </c>
      <c r="H21">
        <v>0.164798</v>
      </c>
      <c r="I21" s="3">
        <f t="shared" si="0"/>
        <v>7.5755117734273227</v>
      </c>
      <c r="J21" s="3">
        <f t="shared" si="1"/>
        <v>0.16481933333333335</v>
      </c>
    </row>
    <row r="22" spans="1:10" x14ac:dyDescent="0.3">
      <c r="A22">
        <v>21</v>
      </c>
      <c r="B22" t="s">
        <v>23</v>
      </c>
      <c r="C22">
        <v>12.2805504798889</v>
      </c>
      <c r="D22">
        <v>0.31652799999999998</v>
      </c>
      <c r="E22">
        <v>11.117549896240201</v>
      </c>
      <c r="F22">
        <v>0.316608</v>
      </c>
      <c r="G22">
        <v>10.9539279937744</v>
      </c>
      <c r="H22">
        <v>0.31652799999999998</v>
      </c>
      <c r="I22" s="3">
        <f t="shared" si="0"/>
        <v>11.450676123301166</v>
      </c>
      <c r="J22" s="3">
        <f t="shared" si="1"/>
        <v>0.3165546666666666</v>
      </c>
    </row>
    <row r="23" spans="1:10" x14ac:dyDescent="0.3">
      <c r="A23">
        <v>22</v>
      </c>
      <c r="B23" t="s">
        <v>24</v>
      </c>
      <c r="C23">
        <v>11.648854494094801</v>
      </c>
      <c r="D23">
        <v>0.32275799999999999</v>
      </c>
      <c r="E23">
        <v>11.1017560958862</v>
      </c>
      <c r="F23">
        <v>0.32275799999999999</v>
      </c>
      <c r="G23">
        <v>15.924899578094401</v>
      </c>
      <c r="H23">
        <v>0.48245199999999999</v>
      </c>
      <c r="I23" s="3">
        <f t="shared" si="0"/>
        <v>12.891836722691801</v>
      </c>
      <c r="J23" s="3">
        <f t="shared" si="1"/>
        <v>0.37598933333333334</v>
      </c>
    </row>
    <row r="24" spans="1:10" x14ac:dyDescent="0.3">
      <c r="A24">
        <v>23</v>
      </c>
      <c r="B24" t="s">
        <v>25</v>
      </c>
      <c r="C24">
        <v>18.844939708709699</v>
      </c>
      <c r="D24">
        <v>0.46363199999999999</v>
      </c>
      <c r="E24">
        <v>16.322460412979101</v>
      </c>
      <c r="F24">
        <v>0.46366400000000002</v>
      </c>
      <c r="G24">
        <v>15.2330391407012</v>
      </c>
      <c r="H24">
        <v>0.46367999999999998</v>
      </c>
      <c r="I24" s="3">
        <f t="shared" si="0"/>
        <v>16.800146420796668</v>
      </c>
      <c r="J24" s="3">
        <f t="shared" si="1"/>
        <v>0.46365866666666666</v>
      </c>
    </row>
    <row r="25" spans="1:10" x14ac:dyDescent="0.3">
      <c r="A25">
        <v>24</v>
      </c>
      <c r="B25" t="s">
        <v>26</v>
      </c>
      <c r="C25">
        <v>11.4523901939392</v>
      </c>
      <c r="D25">
        <v>0.31076199999999998</v>
      </c>
      <c r="E25">
        <v>10.737242937088</v>
      </c>
      <c r="F25">
        <v>0.310778</v>
      </c>
      <c r="G25">
        <v>11.103771209716699</v>
      </c>
      <c r="H25">
        <v>0.31076999999999999</v>
      </c>
      <c r="I25" s="3">
        <f t="shared" si="0"/>
        <v>11.097801446914632</v>
      </c>
      <c r="J25" s="3">
        <f t="shared" si="1"/>
        <v>0.31076999999999999</v>
      </c>
    </row>
    <row r="26" spans="1:10" x14ac:dyDescent="0.3">
      <c r="A26">
        <v>25</v>
      </c>
      <c r="B26" t="s">
        <v>27</v>
      </c>
      <c r="C26">
        <v>13.6609296798706</v>
      </c>
      <c r="D26">
        <v>0.16084599999999999</v>
      </c>
      <c r="E26">
        <v>11.2740130424499</v>
      </c>
      <c r="F26">
        <v>0.16084599999999999</v>
      </c>
      <c r="G26">
        <v>14.3474249839782</v>
      </c>
      <c r="H26">
        <v>0.160942</v>
      </c>
      <c r="I26" s="3">
        <f t="shared" si="0"/>
        <v>13.094122568766233</v>
      </c>
      <c r="J26" s="3">
        <f t="shared" si="1"/>
        <v>0.16087799999999999</v>
      </c>
    </row>
    <row r="27" spans="1:10" x14ac:dyDescent="0.3">
      <c r="A27">
        <v>26</v>
      </c>
      <c r="B27" t="s">
        <v>28</v>
      </c>
      <c r="C27">
        <v>7.2298178672790501</v>
      </c>
      <c r="D27">
        <v>1.4028000000000001E-2</v>
      </c>
      <c r="E27">
        <v>7.6220674514770499</v>
      </c>
      <c r="F27">
        <v>1.4028000000000001E-2</v>
      </c>
      <c r="G27">
        <v>7.8261566162109304</v>
      </c>
      <c r="H27">
        <v>1.4028000000000001E-2</v>
      </c>
      <c r="I27" s="3">
        <f t="shared" si="0"/>
        <v>7.5593473116556771</v>
      </c>
      <c r="J27" s="3">
        <f t="shared" si="1"/>
        <v>1.4028000000000001E-2</v>
      </c>
    </row>
    <row r="28" spans="1:10" x14ac:dyDescent="0.3">
      <c r="A28">
        <v>27</v>
      </c>
      <c r="B28" t="s">
        <v>29</v>
      </c>
      <c r="C28">
        <v>8.4475376605987496</v>
      </c>
      <c r="D28">
        <v>1.3979999999999999E-2</v>
      </c>
      <c r="E28">
        <v>7.0536828041076598</v>
      </c>
      <c r="F28">
        <v>1.3979999999999999E-2</v>
      </c>
      <c r="G28">
        <v>8.60963535308837</v>
      </c>
      <c r="H28">
        <v>1.3979999999999999E-2</v>
      </c>
      <c r="I28" s="3">
        <f t="shared" si="0"/>
        <v>8.0369519392649256</v>
      </c>
      <c r="J28" s="3">
        <f t="shared" si="1"/>
        <v>1.3979999999999999E-2</v>
      </c>
    </row>
    <row r="29" spans="1:10" x14ac:dyDescent="0.3">
      <c r="A29">
        <v>28</v>
      </c>
      <c r="B29" t="s">
        <v>30</v>
      </c>
      <c r="C29">
        <v>8.7536091804504395</v>
      </c>
      <c r="D29">
        <v>1.4376E-2</v>
      </c>
      <c r="E29">
        <v>8.2500019073486293</v>
      </c>
      <c r="F29">
        <v>1.4376E-2</v>
      </c>
      <c r="G29">
        <v>7.2737464904785103</v>
      </c>
      <c r="H29">
        <v>1.4376E-2</v>
      </c>
      <c r="I29" s="3">
        <f t="shared" si="0"/>
        <v>8.0924525260925275</v>
      </c>
      <c r="J29" s="3">
        <f t="shared" si="1"/>
        <v>1.4376E-2</v>
      </c>
    </row>
    <row r="30" spans="1:10" x14ac:dyDescent="0.3">
      <c r="A30">
        <v>29</v>
      </c>
      <c r="B30" t="s">
        <v>31</v>
      </c>
      <c r="C30">
        <v>14.097611665725699</v>
      </c>
      <c r="D30">
        <v>2.5759999999999901E-2</v>
      </c>
      <c r="E30">
        <v>13.510927200317299</v>
      </c>
      <c r="F30">
        <v>2.5759999999999901E-2</v>
      </c>
      <c r="G30">
        <v>12.0353410243988</v>
      </c>
      <c r="H30">
        <v>2.5759999999999901E-2</v>
      </c>
      <c r="I30" s="3">
        <f t="shared" si="0"/>
        <v>13.214626630147265</v>
      </c>
      <c r="J30" s="3">
        <f t="shared" si="1"/>
        <v>2.5759999999999905E-2</v>
      </c>
    </row>
    <row r="31" spans="1:10" x14ac:dyDescent="0.3">
      <c r="A31">
        <v>30</v>
      </c>
      <c r="B31" t="s">
        <v>32</v>
      </c>
      <c r="C31">
        <v>9.5435087680816597</v>
      </c>
      <c r="D31">
        <v>1.4291999999999999E-2</v>
      </c>
      <c r="E31">
        <v>10.3054599761962</v>
      </c>
      <c r="F31">
        <v>1.4291999999999999E-2</v>
      </c>
      <c r="G31">
        <v>7.3723480701446498</v>
      </c>
      <c r="H31">
        <v>1.4291999999999999E-2</v>
      </c>
      <c r="I31" s="3">
        <f t="shared" si="0"/>
        <v>9.0737722714741711</v>
      </c>
      <c r="J31" s="3">
        <f t="shared" si="1"/>
        <v>1.4291999999999999E-2</v>
      </c>
    </row>
    <row r="32" spans="1:10" x14ac:dyDescent="0.3">
      <c r="A32">
        <v>31</v>
      </c>
      <c r="B32" t="s">
        <v>33</v>
      </c>
      <c r="C32">
        <v>10.574727296829201</v>
      </c>
      <c r="D32">
        <v>0.16127799999999901</v>
      </c>
      <c r="E32">
        <v>12.267881155014001</v>
      </c>
      <c r="F32">
        <v>0.16119799999999901</v>
      </c>
      <c r="G32">
        <v>11.982605934143001</v>
      </c>
      <c r="H32">
        <v>0.16130999999999901</v>
      </c>
      <c r="I32" s="3">
        <f t="shared" si="0"/>
        <v>11.608404795328733</v>
      </c>
      <c r="J32" s="3">
        <f t="shared" si="1"/>
        <v>0.16126199999999899</v>
      </c>
    </row>
    <row r="33" spans="1:10" x14ac:dyDescent="0.3">
      <c r="A33">
        <v>32</v>
      </c>
      <c r="B33" t="s">
        <v>34</v>
      </c>
      <c r="C33">
        <v>10.7192282676696</v>
      </c>
      <c r="D33">
        <v>0.15895799999999999</v>
      </c>
      <c r="E33">
        <v>10.902725458145101</v>
      </c>
      <c r="F33">
        <v>0.15923799999999999</v>
      </c>
      <c r="G33">
        <v>17.947784662246701</v>
      </c>
      <c r="H33">
        <v>0.15898200000000001</v>
      </c>
      <c r="I33" s="3">
        <f t="shared" si="0"/>
        <v>13.189912796020465</v>
      </c>
      <c r="J33" s="3">
        <f t="shared" si="1"/>
        <v>0.15905933333333333</v>
      </c>
    </row>
    <row r="34" spans="1:10" x14ac:dyDescent="0.3">
      <c r="A34">
        <v>33</v>
      </c>
      <c r="B34" t="s">
        <v>35</v>
      </c>
      <c r="C34">
        <v>11.7646932601928</v>
      </c>
      <c r="D34">
        <v>0.15756800000000001</v>
      </c>
      <c r="E34">
        <v>10.5110704898834</v>
      </c>
      <c r="F34">
        <v>0.15750400000000001</v>
      </c>
      <c r="G34">
        <v>11.015914440155001</v>
      </c>
      <c r="H34">
        <v>0.15750400000000001</v>
      </c>
      <c r="I34" s="3">
        <f t="shared" si="0"/>
        <v>11.097226063410401</v>
      </c>
      <c r="J34" s="3">
        <f t="shared" si="1"/>
        <v>0.15752533333333332</v>
      </c>
    </row>
    <row r="35" spans="1:10" x14ac:dyDescent="0.3">
      <c r="A35">
        <v>34</v>
      </c>
      <c r="B35" t="s">
        <v>36</v>
      </c>
      <c r="C35">
        <v>10.833121538162199</v>
      </c>
      <c r="D35">
        <v>0.150726</v>
      </c>
      <c r="E35">
        <v>10.489367961883501</v>
      </c>
      <c r="F35">
        <v>0.150726</v>
      </c>
      <c r="G35">
        <v>11.7267632484436</v>
      </c>
      <c r="H35">
        <v>0.15079000000000001</v>
      </c>
      <c r="I35" s="3">
        <f t="shared" si="0"/>
        <v>11.016417582829765</v>
      </c>
      <c r="J35" s="3">
        <f t="shared" si="1"/>
        <v>0.15074733333333334</v>
      </c>
    </row>
    <row r="36" spans="1:10" x14ac:dyDescent="0.3">
      <c r="A36">
        <v>35</v>
      </c>
      <c r="B36" t="s">
        <v>37</v>
      </c>
      <c r="C36">
        <v>11.2089464664459</v>
      </c>
      <c r="D36">
        <v>0.15667200000000001</v>
      </c>
      <c r="E36">
        <v>10.1415908336639</v>
      </c>
      <c r="F36">
        <v>0.15656800000000001</v>
      </c>
      <c r="G36">
        <v>12.151660442352201</v>
      </c>
      <c r="H36">
        <v>0.15662400000000001</v>
      </c>
      <c r="I36" s="3">
        <f t="shared" si="0"/>
        <v>11.167399247487333</v>
      </c>
      <c r="J36" s="3">
        <f t="shared" si="1"/>
        <v>0.15662133333333336</v>
      </c>
    </row>
    <row r="37" spans="1:10" x14ac:dyDescent="0.3">
      <c r="A37">
        <v>36</v>
      </c>
      <c r="B37" t="s">
        <v>38</v>
      </c>
      <c r="C37">
        <v>8.3617699146270699</v>
      </c>
      <c r="D37">
        <v>0.11515399999999899</v>
      </c>
      <c r="E37">
        <v>9.8970746994018501</v>
      </c>
      <c r="F37">
        <v>0.115106</v>
      </c>
      <c r="G37">
        <v>10.098259687423701</v>
      </c>
      <c r="H37">
        <v>0.11505799999999999</v>
      </c>
      <c r="I37" s="3">
        <f t="shared" si="0"/>
        <v>9.4523681004842075</v>
      </c>
      <c r="J37" s="3">
        <f t="shared" si="1"/>
        <v>0.11510599999999967</v>
      </c>
    </row>
    <row r="38" spans="1:10" x14ac:dyDescent="0.3">
      <c r="A38">
        <v>37</v>
      </c>
      <c r="B38" t="s">
        <v>39</v>
      </c>
      <c r="C38">
        <v>7.3167455196380597</v>
      </c>
      <c r="D38">
        <v>0.114436</v>
      </c>
      <c r="E38">
        <v>8.1676309108734095</v>
      </c>
      <c r="F38">
        <v>0.114436</v>
      </c>
      <c r="G38">
        <v>10.2399260997772</v>
      </c>
      <c r="H38">
        <v>0.114436</v>
      </c>
      <c r="I38" s="3">
        <f t="shared" si="0"/>
        <v>8.5747675100962226</v>
      </c>
      <c r="J38" s="3">
        <f t="shared" si="1"/>
        <v>0.114436</v>
      </c>
    </row>
    <row r="39" spans="1:10" x14ac:dyDescent="0.3">
      <c r="A39">
        <v>38</v>
      </c>
      <c r="B39" t="s">
        <v>40</v>
      </c>
      <c r="C39">
        <v>8.1170792579650808</v>
      </c>
      <c r="D39">
        <v>0.114574</v>
      </c>
      <c r="E39">
        <v>8.9671196937561</v>
      </c>
      <c r="F39">
        <v>0.114574</v>
      </c>
      <c r="G39">
        <v>8.5607872009277308</v>
      </c>
      <c r="H39">
        <v>0.114574</v>
      </c>
      <c r="I39" s="3">
        <f t="shared" si="0"/>
        <v>8.5483287175496372</v>
      </c>
      <c r="J39" s="3">
        <f t="shared" si="1"/>
        <v>0.114574</v>
      </c>
    </row>
    <row r="40" spans="1:10" x14ac:dyDescent="0.3">
      <c r="A40">
        <v>39</v>
      </c>
      <c r="B40" t="s">
        <v>41</v>
      </c>
      <c r="C40">
        <v>8.2943129539489693</v>
      </c>
      <c r="D40">
        <v>0.11486</v>
      </c>
      <c r="E40">
        <v>8.4981622695922798</v>
      </c>
      <c r="F40">
        <v>0.11486</v>
      </c>
      <c r="G40">
        <v>8.7732799053192103</v>
      </c>
      <c r="H40">
        <v>0.11486</v>
      </c>
      <c r="I40" s="3">
        <f t="shared" si="0"/>
        <v>8.5219183762868198</v>
      </c>
      <c r="J40" s="3">
        <f t="shared" si="1"/>
        <v>0.11486</v>
      </c>
    </row>
    <row r="41" spans="1:10" x14ac:dyDescent="0.3">
      <c r="A41">
        <v>40</v>
      </c>
      <c r="B41" t="s">
        <v>42</v>
      </c>
      <c r="C41">
        <v>11.963824033737099</v>
      </c>
      <c r="D41">
        <v>0.114582</v>
      </c>
      <c r="E41">
        <v>9.8591039180755597</v>
      </c>
      <c r="F41">
        <v>0.114622</v>
      </c>
      <c r="G41">
        <v>8.33821249008178</v>
      </c>
      <c r="H41">
        <v>0.114622</v>
      </c>
      <c r="I41" s="3">
        <f t="shared" si="0"/>
        <v>10.05371348063148</v>
      </c>
      <c r="J41" s="3">
        <f t="shared" si="1"/>
        <v>0.11460866666666668</v>
      </c>
    </row>
    <row r="42" spans="1:10" x14ac:dyDescent="0.3">
      <c r="A42">
        <v>41</v>
      </c>
      <c r="B42" t="s">
        <v>43</v>
      </c>
      <c r="C42">
        <v>11.5235915184021</v>
      </c>
      <c r="D42">
        <v>0.16143399999999999</v>
      </c>
      <c r="E42">
        <v>12.214228153228699</v>
      </c>
      <c r="F42">
        <v>0.161602</v>
      </c>
      <c r="G42">
        <v>12.974114179611201</v>
      </c>
      <c r="H42">
        <v>0.16153000000000001</v>
      </c>
      <c r="I42" s="3">
        <f t="shared" si="0"/>
        <v>12.237311283747333</v>
      </c>
      <c r="J42" s="3">
        <f t="shared" si="1"/>
        <v>0.161522</v>
      </c>
    </row>
    <row r="43" spans="1:10" x14ac:dyDescent="0.3">
      <c r="A43">
        <v>42</v>
      </c>
      <c r="B43" t="s">
        <v>44</v>
      </c>
      <c r="C43">
        <v>13.169001817703201</v>
      </c>
      <c r="D43">
        <v>0.153336</v>
      </c>
      <c r="E43">
        <v>11.6145796775817</v>
      </c>
      <c r="F43">
        <v>0.15335199999999999</v>
      </c>
      <c r="G43">
        <v>11.145003795623699</v>
      </c>
      <c r="H43">
        <v>0.153336</v>
      </c>
      <c r="I43" s="3">
        <f t="shared" si="0"/>
        <v>11.976195096969533</v>
      </c>
      <c r="J43" s="3">
        <f t="shared" si="1"/>
        <v>0.15334133333333333</v>
      </c>
    </row>
    <row r="44" spans="1:10" x14ac:dyDescent="0.3">
      <c r="A44">
        <v>43</v>
      </c>
      <c r="B44" t="s">
        <v>45</v>
      </c>
      <c r="C44">
        <v>12.1004083156585</v>
      </c>
      <c r="D44">
        <v>0.16064600000000001</v>
      </c>
      <c r="E44">
        <v>12.137403011322</v>
      </c>
      <c r="F44">
        <v>0.16064600000000001</v>
      </c>
      <c r="G44">
        <v>10.1139547824859</v>
      </c>
      <c r="H44">
        <v>0.160526</v>
      </c>
      <c r="I44" s="3">
        <f t="shared" si="0"/>
        <v>11.450588703155466</v>
      </c>
      <c r="J44" s="3">
        <f t="shared" si="1"/>
        <v>0.160606</v>
      </c>
    </row>
    <row r="45" spans="1:10" x14ac:dyDescent="0.3">
      <c r="A45">
        <v>44</v>
      </c>
      <c r="B45" t="s">
        <v>46</v>
      </c>
      <c r="C45">
        <v>9.7401092052459699</v>
      </c>
      <c r="D45">
        <v>0.163552</v>
      </c>
      <c r="E45">
        <v>8.1006710529327393</v>
      </c>
      <c r="F45">
        <v>0.163776</v>
      </c>
      <c r="G45">
        <v>8.3418288230895996</v>
      </c>
      <c r="H45">
        <v>0.16381599999999999</v>
      </c>
      <c r="I45" s="3">
        <f>(C45+E45+G45)/3</f>
        <v>8.7275363604227696</v>
      </c>
      <c r="J45" s="3">
        <f t="shared" si="1"/>
        <v>0.16371466666666667</v>
      </c>
    </row>
    <row r="46" spans="1:10" x14ac:dyDescent="0.3">
      <c r="A46">
        <v>45</v>
      </c>
      <c r="B46" t="s">
        <v>47</v>
      </c>
      <c r="C46">
        <v>8.0650885105133003</v>
      </c>
      <c r="D46">
        <v>0.11488</v>
      </c>
      <c r="E46">
        <v>9.5822551250457693</v>
      </c>
      <c r="F46">
        <v>0.11484800000000001</v>
      </c>
      <c r="G46">
        <v>9.43999791145324</v>
      </c>
      <c r="H46">
        <v>0.11484800000000001</v>
      </c>
      <c r="I46" s="3">
        <f t="shared" si="0"/>
        <v>9.0291138490041032</v>
      </c>
      <c r="J46" s="3">
        <f t="shared" si="1"/>
        <v>0.11485866666666666</v>
      </c>
    </row>
    <row r="47" spans="1:10" x14ac:dyDescent="0.3">
      <c r="A47">
        <v>46</v>
      </c>
      <c r="B47" t="s">
        <v>48</v>
      </c>
      <c r="C47">
        <v>13.0286536216735</v>
      </c>
      <c r="D47">
        <v>0.31361</v>
      </c>
      <c r="E47">
        <v>10.4432377815246</v>
      </c>
      <c r="F47">
        <v>0.31319399999999997</v>
      </c>
      <c r="G47">
        <v>10.5966682434082</v>
      </c>
      <c r="H47">
        <v>0.31307400000000002</v>
      </c>
      <c r="I47" s="3">
        <f t="shared" si="0"/>
        <v>11.356186548868768</v>
      </c>
      <c r="J47" s="3">
        <f t="shared" si="1"/>
        <v>0.31329266666666666</v>
      </c>
    </row>
    <row r="48" spans="1:10" x14ac:dyDescent="0.3">
      <c r="A48">
        <v>47</v>
      </c>
      <c r="B48" t="s">
        <v>49</v>
      </c>
      <c r="C48">
        <v>11.9029545783996</v>
      </c>
      <c r="D48">
        <v>0.31052800000000003</v>
      </c>
      <c r="E48">
        <v>12.388119697570801</v>
      </c>
      <c r="F48">
        <v>0.31089600000000001</v>
      </c>
      <c r="G48">
        <v>12.354095935821499</v>
      </c>
      <c r="H48">
        <v>0.31072</v>
      </c>
      <c r="I48" s="3">
        <f t="shared" si="0"/>
        <v>12.215056737263966</v>
      </c>
      <c r="J48" s="3">
        <f t="shared" si="1"/>
        <v>0.31071466666666664</v>
      </c>
    </row>
    <row r="49" spans="1:10" x14ac:dyDescent="0.3">
      <c r="A49">
        <v>48</v>
      </c>
      <c r="B49" t="s">
        <v>50</v>
      </c>
      <c r="C49">
        <v>11.0606527328491</v>
      </c>
      <c r="D49">
        <v>0.29577399999999998</v>
      </c>
      <c r="E49">
        <v>12.482199668884199</v>
      </c>
      <c r="F49">
        <v>0.29565399999999997</v>
      </c>
      <c r="G49">
        <v>10.5536985397338</v>
      </c>
      <c r="H49">
        <v>0.29505399999999998</v>
      </c>
      <c r="I49" s="3">
        <f t="shared" si="0"/>
        <v>11.365516980489033</v>
      </c>
      <c r="J49" s="3">
        <f t="shared" si="1"/>
        <v>0.29549399999999998</v>
      </c>
    </row>
    <row r="50" spans="1:10" x14ac:dyDescent="0.3">
      <c r="A50">
        <v>49</v>
      </c>
      <c r="B50" t="s">
        <v>51</v>
      </c>
      <c r="C50">
        <v>11.545895576476999</v>
      </c>
      <c r="D50">
        <v>0.312498</v>
      </c>
      <c r="E50">
        <v>10.0047807693481</v>
      </c>
      <c r="F50">
        <v>0.31229800000000002</v>
      </c>
      <c r="G50">
        <v>10.3316473960876</v>
      </c>
      <c r="H50">
        <v>0.312386</v>
      </c>
      <c r="I50" s="3">
        <f t="shared" si="0"/>
        <v>10.627441247304233</v>
      </c>
      <c r="J50" s="3">
        <f t="shared" si="1"/>
        <v>0.31239400000000001</v>
      </c>
    </row>
    <row r="51" spans="1:10" x14ac:dyDescent="0.3">
      <c r="A51">
        <v>50</v>
      </c>
      <c r="B51" t="s">
        <v>52</v>
      </c>
      <c r="C51">
        <v>11.698163986206</v>
      </c>
      <c r="D51">
        <v>0.31015599999999999</v>
      </c>
      <c r="E51">
        <v>12.954570293426499</v>
      </c>
      <c r="F51">
        <v>0.31013999999999903</v>
      </c>
      <c r="G51">
        <v>10.771791458129799</v>
      </c>
      <c r="H51">
        <v>0.30987599999999998</v>
      </c>
      <c r="I51" s="3">
        <f t="shared" si="0"/>
        <v>11.808175245920765</v>
      </c>
      <c r="J51" s="3">
        <f t="shared" si="1"/>
        <v>0.31005733333333302</v>
      </c>
    </row>
    <row r="52" spans="1:10" x14ac:dyDescent="0.3">
      <c r="A52">
        <v>51</v>
      </c>
      <c r="B52" t="s">
        <v>53</v>
      </c>
      <c r="C52">
        <v>25.893446207046502</v>
      </c>
      <c r="D52">
        <v>0.27001399999999998</v>
      </c>
      <c r="E52">
        <v>9.3483817577362007</v>
      </c>
      <c r="F52">
        <v>0.27001399999999998</v>
      </c>
      <c r="G52">
        <v>10.394031763076701</v>
      </c>
      <c r="H52">
        <v>0.27002999999999999</v>
      </c>
      <c r="I52" s="3">
        <f t="shared" si="0"/>
        <v>15.211953242619799</v>
      </c>
      <c r="J52" s="3">
        <f t="shared" si="1"/>
        <v>0.27001933333333333</v>
      </c>
    </row>
    <row r="53" spans="1:10" x14ac:dyDescent="0.3">
      <c r="A53">
        <v>52</v>
      </c>
      <c r="B53" t="s">
        <v>54</v>
      </c>
      <c r="C53">
        <v>10.145806074142399</v>
      </c>
      <c r="D53">
        <v>0.27587599999999901</v>
      </c>
      <c r="E53">
        <v>14.2145872116088</v>
      </c>
      <c r="F53">
        <v>0.27587599999999901</v>
      </c>
      <c r="G53">
        <v>10.564906835556</v>
      </c>
      <c r="H53">
        <v>0.27587599999999901</v>
      </c>
      <c r="I53" s="3">
        <f t="shared" si="0"/>
        <v>11.6417667071024</v>
      </c>
      <c r="J53" s="3">
        <f t="shared" si="1"/>
        <v>0.27587599999999901</v>
      </c>
    </row>
    <row r="54" spans="1:10" x14ac:dyDescent="0.3">
      <c r="A54">
        <v>53</v>
      </c>
      <c r="B54" t="s">
        <v>55</v>
      </c>
      <c r="C54">
        <v>13.6167392730712</v>
      </c>
      <c r="D54">
        <v>0.31558000000000003</v>
      </c>
      <c r="E54">
        <v>12.660323619842501</v>
      </c>
      <c r="F54">
        <v>0.31525999999999998</v>
      </c>
      <c r="G54">
        <v>12.682502746581999</v>
      </c>
      <c r="H54">
        <v>0.31552400000000003</v>
      </c>
      <c r="I54" s="3">
        <f t="shared" si="0"/>
        <v>12.9865218798319</v>
      </c>
      <c r="J54" s="3">
        <f t="shared" si="1"/>
        <v>0.31545466666666672</v>
      </c>
    </row>
    <row r="55" spans="1:10" x14ac:dyDescent="0.3">
      <c r="A55">
        <v>54</v>
      </c>
      <c r="B55" t="s">
        <v>56</v>
      </c>
      <c r="C55">
        <v>12.2619609832763</v>
      </c>
      <c r="D55">
        <v>0.32214999999999999</v>
      </c>
      <c r="E55">
        <v>11.4949226379394</v>
      </c>
      <c r="F55">
        <v>0.32223800000000002</v>
      </c>
      <c r="G55">
        <v>12.3242788314819</v>
      </c>
      <c r="H55">
        <v>0.32253399999999999</v>
      </c>
      <c r="I55" s="3">
        <f t="shared" si="0"/>
        <v>12.027054150899199</v>
      </c>
      <c r="J55" s="3">
        <f t="shared" si="1"/>
        <v>0.32230733333333333</v>
      </c>
    </row>
    <row r="56" spans="1:10" x14ac:dyDescent="0.3">
      <c r="A56">
        <v>55</v>
      </c>
      <c r="B56" t="s">
        <v>57</v>
      </c>
      <c r="C56">
        <v>10.3748230934143</v>
      </c>
      <c r="D56">
        <v>0.27587</v>
      </c>
      <c r="E56">
        <v>9.9349980354308993</v>
      </c>
      <c r="F56">
        <v>0.27587</v>
      </c>
      <c r="G56">
        <v>10.717126369476301</v>
      </c>
      <c r="H56">
        <v>0.27587</v>
      </c>
      <c r="I56" s="3">
        <f t="shared" si="0"/>
        <v>10.342315832773833</v>
      </c>
      <c r="J56" s="3">
        <f t="shared" si="1"/>
        <v>0.27587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2026-03-23T11:11:48Z</dcterms:modified>
</cp:coreProperties>
</file>