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Q15" i="1" l="1"/>
  <c r="P15" i="1"/>
  <c r="Q12" i="1"/>
  <c r="Q11" i="1"/>
  <c r="Q10" i="1"/>
  <c r="Q9" i="1"/>
  <c r="Q8" i="1"/>
  <c r="Q7" i="1"/>
  <c r="Q6" i="1"/>
  <c r="Q5" i="1"/>
  <c r="Q4" i="1"/>
  <c r="Q3" i="1"/>
  <c r="Q2" i="1"/>
  <c r="P12" i="1"/>
  <c r="P11" i="1"/>
  <c r="P10" i="1"/>
  <c r="P9" i="1"/>
  <c r="P8" i="1"/>
  <c r="P7" i="1"/>
  <c r="P6" i="1"/>
  <c r="P5" i="1"/>
  <c r="P4" i="1"/>
  <c r="P3" i="1"/>
  <c r="P2" i="1"/>
  <c r="I45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6" i="1"/>
  <c r="I47" i="1"/>
  <c r="I48" i="1"/>
  <c r="I49" i="1"/>
  <c r="I50" i="1"/>
  <c r="I51" i="1"/>
  <c r="I52" i="1"/>
  <c r="I53" i="1"/>
  <c r="I54" i="1"/>
  <c r="I55" i="1"/>
  <c r="I56" i="1"/>
  <c r="J2" i="1"/>
  <c r="I2" i="1"/>
</calcChain>
</file>

<file path=xl/sharedStrings.xml><?xml version="1.0" encoding="utf-8"?>
<sst xmlns="http://schemas.openxmlformats.org/spreadsheetml/2006/main" count="82" uniqueCount="75">
  <si>
    <t>question</t>
  </si>
  <si>
    <t>time</t>
  </si>
  <si>
    <t>cost</t>
  </si>
  <si>
    <t>What is the risk level of "Carrier Identity Spoofing"?</t>
  </si>
  <si>
    <t>What is the protocol used by "Receipt Delivery"?</t>
  </si>
  <si>
    <t>What is the protocol used by "Customer Profile Lookup"?</t>
  </si>
  <si>
    <t>What is the cost of "Immutable Append-Only Log Storage"?</t>
  </si>
  <si>
    <t>What is the implementation status of "Return Eligibility Verification Engine"?</t>
  </si>
  <si>
    <t>Which data flows are inputs to "Screen for Fraud"?</t>
  </si>
  <si>
    <t>Which data store receives "Refund Execution Audit Entry"?</t>
  </si>
  <si>
    <t>Which is the following task after "Ship Order"?</t>
  </si>
  <si>
    <t>Which is the following task after "Display Return Policy"?</t>
  </si>
  <si>
    <t>Which are the possible mitigations for threat "Payment Data Tampering in Transit"?</t>
  </si>
  <si>
    <t>What threats are linked to "Generate Delivery Milestone"?</t>
  </si>
  <si>
    <t>What categories are the mitigations which can counter threat named "Sensitive Data Leakage in Receipts"?</t>
  </si>
  <si>
    <t>Which trust boundaries are crossed by the data flows that are input to "Execute Refund"?</t>
  </si>
  <si>
    <t>What trust zone does the data store that stores "Payment Record Storage" reside in?</t>
  </si>
  <si>
    <t>What mitigations are implemented to data store "Fraud Rules Repository"?</t>
  </si>
  <si>
    <t>What threats impact the data flows which are outputted by the process "Execute Payment Transaction"?</t>
  </si>
  <si>
    <t>What threats impact the data flows which cross the trust boundary named "Internal Order Management Zone (1)"?</t>
  </si>
  <si>
    <t>What mitigations are implemented for the processes residing in trust zone named "Internal Network Boundary (2)"?</t>
  </si>
  <si>
    <t>What mitigations secure the data flows stored by the data store "Customer Database"?</t>
  </si>
  <si>
    <t>What threats impact the external entity which sends the data flow named "Carrier Tracking Update"?</t>
  </si>
  <si>
    <t>What categories are the threats impacting the data flows which are outputs of the process "Publish Approved Review"?</t>
  </si>
  <si>
    <t>What categories are the mitigations which can counter the threats affecting data store "Audit Log"?</t>
  </si>
  <si>
    <t>What categories are the mitigations which can counter the threats affecting data store "Order and Shipment Database"?</t>
  </si>
  <si>
    <t>What threats impact the process which outputs the data flow which is stored by data store "Inventory Database"?</t>
  </si>
  <si>
    <t>What mitigations are used for the process which outputs the data flow that is taken as input by process "Assess Return Eligibility"?</t>
  </si>
  <si>
    <t>What are the external entities from the "Process Payment" BPMN Sub-Process?</t>
  </si>
  <si>
    <t>What are the data stores from the "Manage Customer Profile" BPMN Sub-Process?</t>
  </si>
  <si>
    <t>What threats affect the processes from the DFD decomposition of "Process Tracking Update &amp; Notify Customer" BPMN Sub-Process?</t>
  </si>
  <si>
    <t>What are the threats and risk levels of threats affecting processes from the DFD decomposition of "Submit and Moderate Review" BPMN Sub-Process?</t>
  </si>
  <si>
    <t>What are the trust zones from the DFD Decomposition of "Process Return &amp; Issue Refund" BPMN Sub-Process?</t>
  </si>
  <si>
    <t>What threats affect the "Screen for Fraud" process?</t>
  </si>
  <si>
    <t>What are the threats affecting the "Execute Payment Transaction" process?</t>
  </si>
  <si>
    <t>What are the threats affecting the "Session Store" data store?</t>
  </si>
  <si>
    <t>What are the threats affecting the "Content Moderation Service (ModerateAI)" external entity?</t>
  </si>
  <si>
    <t>What are the threats affecting the "Order and Shipment Database" data store?</t>
  </si>
  <si>
    <t>Which threats can "Immutable Append-Only Log Storage" mitigate?</t>
  </si>
  <si>
    <t>Which mitigations are defined for "Transaction Repudiation"?</t>
  </si>
  <si>
    <t>Which mitigations are defined for "Refund Amount Escalation"?</t>
  </si>
  <si>
    <t>Which threats does "Carrier API Key Authentication and IP Allowlisting" mitigate?</t>
  </si>
  <si>
    <t>Which mitigations are defined for "Refund Repudiation"?</t>
  </si>
  <si>
    <t>To what processes is the external entity "Customer" sending data flows across all cases?</t>
  </si>
  <si>
    <t>What data flows are being sent by external entity "Payment Gateway Provider (StripeConnect)" across all cases?</t>
  </si>
  <si>
    <t>To what threats is the data store "Customer Database" exposed across all cases?</t>
  </si>
  <si>
    <t>What mitigations are defined for the data flows stored by data store "Audit Log" across all cases?</t>
  </si>
  <si>
    <t>What threats are being mitigated by mitigation "Comprehensive Transaction Logging" across all cases?</t>
  </si>
  <si>
    <t>Trace the path from process "Screen for Fraud" to data store "Payment Records".</t>
  </si>
  <si>
    <t>Trace the path from external entity "Payment Gateway Provider (StripeConnect)" to external entity "Customer".</t>
  </si>
  <si>
    <t>Trace the path from external entity "Customer" to external entity "Email Delivery Service (SendGrid)".</t>
  </si>
  <si>
    <t>Trace the path from process "Receive and Validate Review" to data store "Product Reviews Database".</t>
  </si>
  <si>
    <t>Trace the path from process "Validate Return Request" to external entity "Payment Gateway Provider (StripeConnect)".</t>
  </si>
  <si>
    <t>What is the risk level of "Carrier Identity Spoofing", and what trust boundary does "Ingest &amp; Validate Carrier Update" reside in?</t>
  </si>
  <si>
    <t>Which mitigations are linked to "Refund Repudiation", and what protocol is used by "Refund Authorization Request"?</t>
  </si>
  <si>
    <t>What threats affect "Screen for Fraud" and what mitigations are applied to "Fraud Rules Repository"?</t>
  </si>
  <si>
    <t>What trust boundaries are crossed by "Approved Payment Request" and what threats affect "Generate Payment Receipt"?</t>
  </si>
  <si>
    <t>What is the implementation status of "Return Eligibility Verification Engine", and what data store receives "Return Processing Audit Entry"?</t>
  </si>
  <si>
    <t>ID</t>
  </si>
  <si>
    <t>Avg time</t>
  </si>
  <si>
    <t>Avg cost</t>
  </si>
  <si>
    <t>Category</t>
  </si>
  <si>
    <t>Direct relation queries</t>
  </si>
  <si>
    <t>1 hop relationship traversal queries</t>
  </si>
  <si>
    <t>2 hop relationship traversal queries</t>
  </si>
  <si>
    <t>3 hop relationship traversal queries</t>
  </si>
  <si>
    <t>4 hop relationship traversal queries</t>
  </si>
  <si>
    <t>BPMN to DFD decomposition traceability queries</t>
  </si>
  <si>
    <t>Threat-to-Element Mapping</t>
  </si>
  <si>
    <t>Mitigation-to-Threat Mapping</t>
  </si>
  <si>
    <t>Cross-case reuse and same-entity traceability queries</t>
  </si>
  <si>
    <t>Multi-hop end-to-end path queries</t>
  </si>
  <si>
    <t>Multiple intent questions</t>
  </si>
  <si>
    <t>Avg time total</t>
  </si>
  <si>
    <t>Avg cost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</si>
</sst>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ont="1"/>
    <xf numFmtId="2" fontId="0" fillId="2" borderId="0" xfId="0" applyNumberForma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tabSelected="1" workbookViewId="0">
      <selection activeCell="O24" sqref="O24"/>
    </sheetView>
  </sheetViews>
  <sheetFormatPr defaultRowHeight="14.4" x14ac:dyDescent="0.3"/>
  <sheetData>
    <row r="1" spans="1:17" x14ac:dyDescent="0.3">
      <c r="A1" t="s">
        <v>58</v>
      </c>
      <c r="B1" t="s">
        <v>0</v>
      </c>
      <c r="C1" t="s">
        <v>1</v>
      </c>
      <c r="D1" t="s">
        <v>2</v>
      </c>
      <c r="E1" t="s">
        <v>1</v>
      </c>
      <c r="F1" t="s">
        <v>2</v>
      </c>
      <c r="G1" t="s">
        <v>1</v>
      </c>
      <c r="H1" t="s">
        <v>2</v>
      </c>
      <c r="I1" s="1" t="s">
        <v>59</v>
      </c>
      <c r="J1" s="1" t="s">
        <v>60</v>
      </c>
      <c r="N1" t="s">
        <v>58</v>
      </c>
      <c r="O1" t="s">
        <v>61</v>
      </c>
      <c r="P1" t="s">
        <v>59</v>
      </c>
      <c r="Q1" t="s">
        <v>60</v>
      </c>
    </row>
    <row r="2" spans="1:17" x14ac:dyDescent="0.3">
      <c r="A2">
        <v>1</v>
      </c>
      <c r="B2" t="s">
        <v>3</v>
      </c>
      <c r="C2">
        <v>6.58463406562805</v>
      </c>
      <c r="D2">
        <v>1.0312E-2</v>
      </c>
      <c r="E2">
        <v>9.8293952941894496</v>
      </c>
      <c r="F2">
        <v>1.0312E-2</v>
      </c>
      <c r="G2">
        <v>10.4104013442993</v>
      </c>
      <c r="H2">
        <v>1.0312E-2</v>
      </c>
      <c r="I2" s="3">
        <f>(C2+E2+G2)/3</f>
        <v>8.9414769013722672</v>
      </c>
      <c r="J2" s="3">
        <f>(D2+F2+H2)/3</f>
        <v>1.0312E-2</v>
      </c>
      <c r="N2">
        <v>1</v>
      </c>
      <c r="O2" s="2" t="s">
        <v>62</v>
      </c>
      <c r="P2" s="4">
        <f>(I2+I3+I4+I5+I6)/5</f>
        <v>6.4666651884714712</v>
      </c>
      <c r="Q2" s="4">
        <f>(J2+J3+J4+J5+J6)/5</f>
        <v>1.0557333333333332E-2</v>
      </c>
    </row>
    <row r="3" spans="1:17" x14ac:dyDescent="0.3">
      <c r="A3">
        <v>2</v>
      </c>
      <c r="B3" t="s">
        <v>4</v>
      </c>
      <c r="C3">
        <v>4.73130178451538</v>
      </c>
      <c r="D3">
        <v>1.0083999999999999E-2</v>
      </c>
      <c r="E3">
        <v>5.2796363830566397</v>
      </c>
      <c r="F3">
        <v>1.0083999999999999E-2</v>
      </c>
      <c r="G3">
        <v>4.5778028964996302</v>
      </c>
      <c r="H3">
        <v>1.0083999999999999E-2</v>
      </c>
      <c r="I3" s="3">
        <f t="shared" ref="I3:I56" si="0">(C3+E3+G3)/3</f>
        <v>4.862913688023883</v>
      </c>
      <c r="J3" s="3">
        <f t="shared" ref="J3:J56" si="1">(D3+F3+H3)/3</f>
        <v>1.0083999999999999E-2</v>
      </c>
      <c r="N3">
        <v>2</v>
      </c>
      <c r="O3" s="2" t="s">
        <v>63</v>
      </c>
      <c r="P3" s="4">
        <f>(I7+I8+I9+I10+I11)/5</f>
        <v>5.757271289825435</v>
      </c>
      <c r="Q3" s="4">
        <f>(J7+J8+J9+J10+J11)/5</f>
        <v>1.0415466666666666E-2</v>
      </c>
    </row>
    <row r="4" spans="1:17" x14ac:dyDescent="0.3">
      <c r="A4">
        <v>3</v>
      </c>
      <c r="B4" t="s">
        <v>5</v>
      </c>
      <c r="C4">
        <v>7.55714988708496</v>
      </c>
      <c r="D4">
        <v>9.7120000000000001E-3</v>
      </c>
      <c r="E4">
        <v>5.0653221607208199</v>
      </c>
      <c r="F4">
        <v>9.7120000000000001E-3</v>
      </c>
      <c r="G4">
        <v>5.8597154617309499</v>
      </c>
      <c r="H4">
        <v>9.7120000000000001E-3</v>
      </c>
      <c r="I4" s="3">
        <f t="shared" si="0"/>
        <v>6.1607291698455766</v>
      </c>
      <c r="J4" s="3">
        <f t="shared" si="1"/>
        <v>9.7120000000000001E-3</v>
      </c>
      <c r="N4">
        <v>3</v>
      </c>
      <c r="O4" s="2" t="s">
        <v>64</v>
      </c>
      <c r="P4" s="4">
        <f>(I12+I13+I14+I15+I16)/5</f>
        <v>7.8058188279469691</v>
      </c>
      <c r="Q4" s="4">
        <f>(J12+J13+J14+J15+J16)/5</f>
        <v>4.6855866666666669E-2</v>
      </c>
    </row>
    <row r="5" spans="1:17" x14ac:dyDescent="0.3">
      <c r="A5">
        <v>4</v>
      </c>
      <c r="B5" t="s">
        <v>6</v>
      </c>
      <c r="C5">
        <v>5.6739201545715297</v>
      </c>
      <c r="D5">
        <v>1.2402E-2</v>
      </c>
      <c r="E5">
        <v>5.1008613109588596</v>
      </c>
      <c r="F5">
        <v>1.2345999999999999E-2</v>
      </c>
      <c r="G5">
        <v>5.8666002750396702</v>
      </c>
      <c r="H5">
        <v>1.2345999999999999E-2</v>
      </c>
      <c r="I5" s="3">
        <f t="shared" si="0"/>
        <v>5.5471272468566859</v>
      </c>
      <c r="J5" s="3">
        <f t="shared" si="1"/>
        <v>1.2364666666666668E-2</v>
      </c>
      <c r="N5">
        <v>4</v>
      </c>
      <c r="O5" s="2" t="s">
        <v>65</v>
      </c>
      <c r="P5" s="4">
        <f>(I17+I18+I19+I20+I21)/5</f>
        <v>15.208518457412675</v>
      </c>
      <c r="Q5" s="4">
        <f>(J17+J18+J19+J20+J21)/5</f>
        <v>0.12277599999999975</v>
      </c>
    </row>
    <row r="6" spans="1:17" x14ac:dyDescent="0.3">
      <c r="A6">
        <v>5</v>
      </c>
      <c r="B6" t="s">
        <v>7</v>
      </c>
      <c r="C6">
        <v>4.9156150817870996</v>
      </c>
      <c r="D6">
        <v>1.0314E-2</v>
      </c>
      <c r="E6">
        <v>5.7532088756561199</v>
      </c>
      <c r="F6">
        <v>1.0314E-2</v>
      </c>
      <c r="G6">
        <v>9.7944128513336093</v>
      </c>
      <c r="H6">
        <v>1.0314E-2</v>
      </c>
      <c r="I6" s="3">
        <f t="shared" si="0"/>
        <v>6.8210789362589423</v>
      </c>
      <c r="J6" s="3">
        <f t="shared" si="1"/>
        <v>1.0314E-2</v>
      </c>
      <c r="N6">
        <v>5</v>
      </c>
      <c r="O6" s="2" t="s">
        <v>66</v>
      </c>
      <c r="P6" s="4">
        <f>(I22+I23+I24+I25+I26)/5</f>
        <v>15.686932023366245</v>
      </c>
      <c r="Q6" s="4">
        <f>(J22+J23+J24+J25+J26)/5</f>
        <v>0.27850799999999987</v>
      </c>
    </row>
    <row r="7" spans="1:17" x14ac:dyDescent="0.3">
      <c r="A7">
        <v>6</v>
      </c>
      <c r="B7" t="s">
        <v>8</v>
      </c>
      <c r="C7">
        <v>5.5479447841644198</v>
      </c>
      <c r="D7">
        <v>1.0947999999999999E-2</v>
      </c>
      <c r="E7">
        <v>6.3393924236297599</v>
      </c>
      <c r="F7">
        <v>1.0947999999999999E-2</v>
      </c>
      <c r="G7">
        <v>6.6091730594635001</v>
      </c>
      <c r="H7">
        <v>1.0892000000000001E-2</v>
      </c>
      <c r="I7" s="3">
        <f t="shared" si="0"/>
        <v>6.1655034224192269</v>
      </c>
      <c r="J7" s="3">
        <f t="shared" si="1"/>
        <v>1.0929333333333333E-2</v>
      </c>
      <c r="N7">
        <v>6</v>
      </c>
      <c r="O7" s="2" t="s">
        <v>67</v>
      </c>
      <c r="P7" s="4">
        <f>(I27+I28+I29+I30+I31)/5</f>
        <v>10.33854864438373</v>
      </c>
      <c r="Q7" s="4">
        <f>(J27+J28+J29+J30+J31)/5</f>
        <v>1.6491466666666649E-2</v>
      </c>
    </row>
    <row r="8" spans="1:17" x14ac:dyDescent="0.3">
      <c r="A8">
        <v>7</v>
      </c>
      <c r="B8" t="s">
        <v>9</v>
      </c>
      <c r="C8">
        <v>5.04109358787536</v>
      </c>
      <c r="D8">
        <v>1.0296E-2</v>
      </c>
      <c r="E8">
        <v>5.8490951061248699</v>
      </c>
      <c r="F8">
        <v>1.0296E-2</v>
      </c>
      <c r="G8">
        <v>5.7423181533813397</v>
      </c>
      <c r="H8">
        <v>1.0296E-2</v>
      </c>
      <c r="I8" s="3">
        <f t="shared" si="0"/>
        <v>5.5441689491271902</v>
      </c>
      <c r="J8" s="3">
        <f t="shared" si="1"/>
        <v>1.0296E-2</v>
      </c>
      <c r="N8">
        <v>7</v>
      </c>
      <c r="O8" s="2" t="s">
        <v>68</v>
      </c>
      <c r="P8" s="4">
        <f>(I32+I33+I34+I35+I36)/5</f>
        <v>6.5674414475758827</v>
      </c>
      <c r="Q8" s="4">
        <f>(J32+J33+J34+J35+J36)/5</f>
        <v>5.2846666666666653E-2</v>
      </c>
    </row>
    <row r="9" spans="1:17" x14ac:dyDescent="0.3">
      <c r="A9">
        <v>8</v>
      </c>
      <c r="B9" t="s">
        <v>10</v>
      </c>
      <c r="C9">
        <v>4.7850613594055096</v>
      </c>
      <c r="D9">
        <v>1.0152E-2</v>
      </c>
      <c r="E9">
        <v>6.4957578182220397</v>
      </c>
      <c r="F9">
        <v>1.0152E-2</v>
      </c>
      <c r="G9">
        <v>7.0203721523284903</v>
      </c>
      <c r="H9">
        <v>1.0116E-2</v>
      </c>
      <c r="I9" s="3">
        <f t="shared" si="0"/>
        <v>6.1003971099853471</v>
      </c>
      <c r="J9" s="3">
        <f t="shared" si="1"/>
        <v>1.014E-2</v>
      </c>
      <c r="N9">
        <v>8</v>
      </c>
      <c r="O9" s="2" t="s">
        <v>69</v>
      </c>
      <c r="P9" s="4">
        <f>(I37+I38+I39+I40+I41)/5</f>
        <v>5.8314213752746538</v>
      </c>
      <c r="Q9" s="4">
        <f>(J37+J38+J39+J40+J41)/5</f>
        <v>2.2031866666666657E-2</v>
      </c>
    </row>
    <row r="10" spans="1:17" x14ac:dyDescent="0.3">
      <c r="A10">
        <v>9</v>
      </c>
      <c r="B10" t="s">
        <v>11</v>
      </c>
      <c r="C10">
        <v>6.9018466472625697</v>
      </c>
      <c r="D10">
        <v>1.0267999999999999E-2</v>
      </c>
      <c r="E10">
        <v>5.1929826736450098</v>
      </c>
      <c r="F10">
        <v>1.0232E-2</v>
      </c>
      <c r="G10">
        <v>5.9213063716888401</v>
      </c>
      <c r="H10">
        <v>1.018E-2</v>
      </c>
      <c r="I10" s="3">
        <f t="shared" si="0"/>
        <v>6.0053785641988062</v>
      </c>
      <c r="J10" s="3">
        <f t="shared" si="1"/>
        <v>1.0226666666666667E-2</v>
      </c>
      <c r="N10">
        <v>9</v>
      </c>
      <c r="O10" s="2" t="s">
        <v>70</v>
      </c>
      <c r="P10" s="4">
        <f>(I42+I43+I44+I45+I46)/5</f>
        <v>8.2098137855529636</v>
      </c>
      <c r="Q10" s="4">
        <f>(J42+J43+J44+J45+J46)/5</f>
        <v>5.1720666666666658E-2</v>
      </c>
    </row>
    <row r="11" spans="1:17" x14ac:dyDescent="0.3">
      <c r="A11">
        <v>10</v>
      </c>
      <c r="B11" t="s">
        <v>12</v>
      </c>
      <c r="C11">
        <v>5.4420082569122297</v>
      </c>
      <c r="D11">
        <v>1.0488000000000001E-2</v>
      </c>
      <c r="E11">
        <v>4.6037518978118896</v>
      </c>
      <c r="F11">
        <v>1.0488000000000001E-2</v>
      </c>
      <c r="G11">
        <v>4.8669650554656902</v>
      </c>
      <c r="H11">
        <v>1.048E-2</v>
      </c>
      <c r="I11" s="3">
        <f t="shared" si="0"/>
        <v>4.9709084033966029</v>
      </c>
      <c r="J11" s="3">
        <f t="shared" si="1"/>
        <v>1.0485333333333333E-2</v>
      </c>
      <c r="N11">
        <v>10</v>
      </c>
      <c r="O11" s="2" t="s">
        <v>71</v>
      </c>
      <c r="P11" s="4">
        <f>(I47+I48+I49+I50+I51)/5</f>
        <v>7.0855020840962695</v>
      </c>
      <c r="Q11" s="4">
        <f>(J47+J48+J49+J50+J51)/5</f>
        <v>1.7603733333333333E-2</v>
      </c>
    </row>
    <row r="12" spans="1:17" x14ac:dyDescent="0.3">
      <c r="A12">
        <v>11</v>
      </c>
      <c r="B12" t="s">
        <v>13</v>
      </c>
      <c r="C12">
        <v>8.7567417621612496</v>
      </c>
      <c r="D12">
        <v>5.7290000000000001E-2</v>
      </c>
      <c r="E12">
        <v>6.1076343059539697</v>
      </c>
      <c r="F12">
        <v>5.7346000000000001E-2</v>
      </c>
      <c r="G12">
        <v>7.56746482849121</v>
      </c>
      <c r="H12">
        <v>5.7290000000000001E-2</v>
      </c>
      <c r="I12" s="3">
        <f t="shared" si="0"/>
        <v>7.4772802988688101</v>
      </c>
      <c r="J12" s="3">
        <f t="shared" si="1"/>
        <v>5.7308666666666667E-2</v>
      </c>
      <c r="N12">
        <v>11</v>
      </c>
      <c r="O12" s="2" t="s">
        <v>72</v>
      </c>
      <c r="P12" s="4">
        <f>(I52+I53+I54+I55+I56)/5</f>
        <v>9.2112013975779039</v>
      </c>
      <c r="Q12" s="4">
        <f>(J52+J53+J54+J55+J56)/5</f>
        <v>4.750426666666667E-2</v>
      </c>
    </row>
    <row r="13" spans="1:17" x14ac:dyDescent="0.3">
      <c r="A13">
        <v>12</v>
      </c>
      <c r="B13" t="s">
        <v>14</v>
      </c>
      <c r="C13">
        <v>5.2683205604553196</v>
      </c>
      <c r="D13">
        <v>3.7198000000000002E-2</v>
      </c>
      <c r="E13">
        <v>6.4100692272186199</v>
      </c>
      <c r="F13">
        <v>3.7198000000000002E-2</v>
      </c>
      <c r="G13">
        <v>9.2719824314117396</v>
      </c>
      <c r="H13">
        <v>4.4470000000000003E-2</v>
      </c>
      <c r="I13" s="3">
        <f t="shared" si="0"/>
        <v>6.983457406361893</v>
      </c>
      <c r="J13" s="3">
        <f t="shared" si="1"/>
        <v>3.9621999999999997E-2</v>
      </c>
    </row>
    <row r="14" spans="1:17" x14ac:dyDescent="0.3">
      <c r="A14">
        <v>13</v>
      </c>
      <c r="B14" t="s">
        <v>15</v>
      </c>
      <c r="C14">
        <v>9.4835848808288503</v>
      </c>
      <c r="D14">
        <v>6.6091999999999998E-2</v>
      </c>
      <c r="E14">
        <v>11.390479087829499</v>
      </c>
      <c r="F14">
        <v>6.5963999999999995E-2</v>
      </c>
      <c r="G14">
        <v>13.613147497177099</v>
      </c>
      <c r="H14">
        <v>6.0940000000000001E-2</v>
      </c>
      <c r="I14" s="3">
        <f t="shared" si="0"/>
        <v>11.495737155278482</v>
      </c>
      <c r="J14" s="3">
        <f t="shared" si="1"/>
        <v>6.4332E-2</v>
      </c>
      <c r="P14" t="s">
        <v>73</v>
      </c>
      <c r="Q14" t="s">
        <v>74</v>
      </c>
    </row>
    <row r="15" spans="1:17" x14ac:dyDescent="0.3">
      <c r="A15">
        <v>14</v>
      </c>
      <c r="B15" t="s">
        <v>16</v>
      </c>
      <c r="C15">
        <v>4.9814279079437203</v>
      </c>
      <c r="D15">
        <v>1.9155999999999999E-2</v>
      </c>
      <c r="E15">
        <v>7.1698801517486501</v>
      </c>
      <c r="F15">
        <v>1.9123999999999999E-2</v>
      </c>
      <c r="G15">
        <v>5.7881276607513401</v>
      </c>
      <c r="H15">
        <v>1.9123999999999999E-2</v>
      </c>
      <c r="I15" s="3">
        <f t="shared" si="0"/>
        <v>5.9798119068145708</v>
      </c>
      <c r="J15" s="3">
        <f t="shared" si="1"/>
        <v>1.9134666666666664E-2</v>
      </c>
      <c r="P15" s="4">
        <f>SUM(P2:P12)/11</f>
        <v>8.9244667746803845</v>
      </c>
      <c r="Q15" s="4">
        <f>SUM(Q2:Q12)/11</f>
        <v>6.1573757575757539E-2</v>
      </c>
    </row>
    <row r="16" spans="1:17" x14ac:dyDescent="0.3">
      <c r="A16">
        <v>15</v>
      </c>
      <c r="B16" t="s">
        <v>17</v>
      </c>
      <c r="C16">
        <v>8.2438378334045392</v>
      </c>
      <c r="D16">
        <v>5.3881999999999999E-2</v>
      </c>
      <c r="E16">
        <v>6.4722263813018799</v>
      </c>
      <c r="F16">
        <v>5.3881999999999999E-2</v>
      </c>
      <c r="G16">
        <v>6.5623579025268501</v>
      </c>
      <c r="H16">
        <v>5.3881999999999999E-2</v>
      </c>
      <c r="I16" s="3">
        <f t="shared" si="0"/>
        <v>7.09280737241109</v>
      </c>
      <c r="J16" s="3">
        <f t="shared" si="1"/>
        <v>5.3882000000000006E-2</v>
      </c>
    </row>
    <row r="17" spans="1:10" x14ac:dyDescent="0.3">
      <c r="A17">
        <v>16</v>
      </c>
      <c r="B17" t="s">
        <v>18</v>
      </c>
      <c r="C17">
        <v>11.821445941925001</v>
      </c>
      <c r="D17">
        <v>0.129522</v>
      </c>
      <c r="E17">
        <v>12.3383700847625</v>
      </c>
      <c r="F17">
        <v>0.130162</v>
      </c>
      <c r="G17">
        <v>12.3861093521118</v>
      </c>
      <c r="H17">
        <v>0.12979399999999999</v>
      </c>
      <c r="I17" s="3">
        <f t="shared" si="0"/>
        <v>12.181975126266435</v>
      </c>
      <c r="J17" s="3">
        <f t="shared" si="1"/>
        <v>0.129826</v>
      </c>
    </row>
    <row r="18" spans="1:10" x14ac:dyDescent="0.3">
      <c r="A18">
        <v>17</v>
      </c>
      <c r="B18" t="s">
        <v>19</v>
      </c>
      <c r="C18">
        <v>15.810175418853699</v>
      </c>
      <c r="D18">
        <v>0.101032</v>
      </c>
      <c r="E18">
        <v>11.918318510055499</v>
      </c>
      <c r="F18">
        <v>0.100991999999999</v>
      </c>
      <c r="G18">
        <v>54.261582612991297</v>
      </c>
      <c r="H18">
        <v>0.10109599999999901</v>
      </c>
      <c r="I18" s="3">
        <f t="shared" si="0"/>
        <v>27.330025513966831</v>
      </c>
      <c r="J18" s="3">
        <f t="shared" si="1"/>
        <v>0.10103999999999934</v>
      </c>
    </row>
    <row r="19" spans="1:10" x14ac:dyDescent="0.3">
      <c r="A19">
        <v>18</v>
      </c>
      <c r="B19" t="s">
        <v>20</v>
      </c>
      <c r="C19">
        <v>15.958211421966499</v>
      </c>
      <c r="D19">
        <v>0.108404</v>
      </c>
      <c r="E19">
        <v>11.900919437408399</v>
      </c>
      <c r="F19">
        <v>0.107684</v>
      </c>
      <c r="G19">
        <v>13.752756595611499</v>
      </c>
      <c r="H19">
        <v>0.107084</v>
      </c>
      <c r="I19" s="3">
        <f t="shared" si="0"/>
        <v>13.870629151662135</v>
      </c>
      <c r="J19" s="3">
        <f t="shared" si="1"/>
        <v>0.107724</v>
      </c>
    </row>
    <row r="20" spans="1:10" x14ac:dyDescent="0.3">
      <c r="A20">
        <v>19</v>
      </c>
      <c r="B20" t="s">
        <v>21</v>
      </c>
      <c r="C20">
        <v>11.2246878147125</v>
      </c>
      <c r="D20">
        <v>0.13389399999999901</v>
      </c>
      <c r="E20">
        <v>11.425896406173701</v>
      </c>
      <c r="F20">
        <v>0.13391</v>
      </c>
      <c r="G20">
        <v>11.476827144622799</v>
      </c>
      <c r="H20">
        <v>0.13374999999999901</v>
      </c>
      <c r="I20" s="3">
        <f t="shared" si="0"/>
        <v>11.375803788503001</v>
      </c>
      <c r="J20" s="3">
        <f t="shared" si="1"/>
        <v>0.13385133333333268</v>
      </c>
    </row>
    <row r="21" spans="1:10" x14ac:dyDescent="0.3">
      <c r="A21">
        <v>20</v>
      </c>
      <c r="B21" t="s">
        <v>22</v>
      </c>
      <c r="C21">
        <v>10.7592787742614</v>
      </c>
      <c r="D21">
        <v>0.141428</v>
      </c>
      <c r="E21">
        <v>11.2544825077056</v>
      </c>
      <c r="F21">
        <v>0.14147599999999999</v>
      </c>
      <c r="G21">
        <v>11.838714838027901</v>
      </c>
      <c r="H21">
        <v>0.14141200000000001</v>
      </c>
      <c r="I21" s="3">
        <f t="shared" si="0"/>
        <v>11.284158706664968</v>
      </c>
      <c r="J21" s="3">
        <f t="shared" si="1"/>
        <v>0.14143866666666668</v>
      </c>
    </row>
    <row r="22" spans="1:10" x14ac:dyDescent="0.3">
      <c r="A22">
        <v>21</v>
      </c>
      <c r="B22" t="s">
        <v>23</v>
      </c>
      <c r="C22">
        <v>13.9862639904022</v>
      </c>
      <c r="D22">
        <v>0.29214799999999902</v>
      </c>
      <c r="E22">
        <v>15.156500816345201</v>
      </c>
      <c r="F22">
        <v>0.292076</v>
      </c>
      <c r="G22">
        <v>19.037241697311401</v>
      </c>
      <c r="H22">
        <v>0.29202</v>
      </c>
      <c r="I22" s="3">
        <f t="shared" si="0"/>
        <v>16.060002168019601</v>
      </c>
      <c r="J22" s="3">
        <f t="shared" si="1"/>
        <v>0.29208133333333297</v>
      </c>
    </row>
    <row r="23" spans="1:10" x14ac:dyDescent="0.3">
      <c r="A23">
        <v>22</v>
      </c>
      <c r="B23" t="s">
        <v>24</v>
      </c>
      <c r="C23">
        <v>14.690987586975</v>
      </c>
      <c r="D23">
        <v>0.30094399999999999</v>
      </c>
      <c r="E23">
        <v>19.715212106704701</v>
      </c>
      <c r="F23">
        <v>0.39065</v>
      </c>
      <c r="G23">
        <v>13.947451591491699</v>
      </c>
      <c r="H23">
        <v>0.30094399999999999</v>
      </c>
      <c r="I23" s="3">
        <f t="shared" si="0"/>
        <v>16.1178837617238</v>
      </c>
      <c r="J23" s="3">
        <f t="shared" si="1"/>
        <v>0.33084600000000003</v>
      </c>
    </row>
    <row r="24" spans="1:10" x14ac:dyDescent="0.3">
      <c r="A24">
        <v>23</v>
      </c>
      <c r="B24" t="s">
        <v>25</v>
      </c>
      <c r="C24">
        <v>18.8664052486419</v>
      </c>
      <c r="D24">
        <v>0.37326599999999999</v>
      </c>
      <c r="E24">
        <v>15.849110126495299</v>
      </c>
      <c r="F24">
        <v>0.37314599999999998</v>
      </c>
      <c r="G24">
        <v>19.366904973983701</v>
      </c>
      <c r="H24">
        <v>0.33399400000000001</v>
      </c>
      <c r="I24" s="3">
        <f t="shared" si="0"/>
        <v>18.027473449706967</v>
      </c>
      <c r="J24" s="3">
        <f t="shared" si="1"/>
        <v>0.36013533333333331</v>
      </c>
    </row>
    <row r="25" spans="1:10" x14ac:dyDescent="0.3">
      <c r="A25">
        <v>24</v>
      </c>
      <c r="B25" t="s">
        <v>26</v>
      </c>
      <c r="C25">
        <v>15.067514657974201</v>
      </c>
      <c r="D25">
        <v>0.28306199999999998</v>
      </c>
      <c r="E25">
        <v>13.1690344810485</v>
      </c>
      <c r="F25">
        <v>0.28309400000000001</v>
      </c>
      <c r="G25">
        <v>15.889857292175201</v>
      </c>
      <c r="H25">
        <v>0.16433200000000001</v>
      </c>
      <c r="I25" s="3">
        <f t="shared" si="0"/>
        <v>14.708802143732633</v>
      </c>
      <c r="J25" s="3">
        <f t="shared" si="1"/>
        <v>0.24349600000000002</v>
      </c>
    </row>
    <row r="26" spans="1:10" x14ac:dyDescent="0.3">
      <c r="A26">
        <v>25</v>
      </c>
      <c r="B26" t="s">
        <v>27</v>
      </c>
      <c r="C26">
        <v>16.120202541351301</v>
      </c>
      <c r="D26">
        <v>0.166024</v>
      </c>
      <c r="E26">
        <v>11.893414497375399</v>
      </c>
      <c r="F26">
        <v>0.166016</v>
      </c>
      <c r="G26">
        <v>12.547878742218</v>
      </c>
      <c r="H26">
        <v>0.165904</v>
      </c>
      <c r="I26" s="3">
        <f t="shared" si="0"/>
        <v>13.520498593648233</v>
      </c>
      <c r="J26" s="3">
        <f t="shared" si="1"/>
        <v>0.16598133333333334</v>
      </c>
    </row>
    <row r="27" spans="1:10" x14ac:dyDescent="0.3">
      <c r="A27">
        <v>26</v>
      </c>
      <c r="B27" t="s">
        <v>28</v>
      </c>
      <c r="C27">
        <v>8.7030272483825595</v>
      </c>
      <c r="D27">
        <v>1.4028000000000001E-2</v>
      </c>
      <c r="E27">
        <v>6.4424846172332701</v>
      </c>
      <c r="F27">
        <v>1.4028000000000001E-2</v>
      </c>
      <c r="G27">
        <v>7.2475013732910103</v>
      </c>
      <c r="H27">
        <v>1.4092E-2</v>
      </c>
      <c r="I27" s="3">
        <f t="shared" si="0"/>
        <v>7.46433774630228</v>
      </c>
      <c r="J27" s="3">
        <f t="shared" si="1"/>
        <v>1.4049333333333336E-2</v>
      </c>
    </row>
    <row r="28" spans="1:10" x14ac:dyDescent="0.3">
      <c r="A28">
        <v>27</v>
      </c>
      <c r="B28" t="s">
        <v>29</v>
      </c>
      <c r="C28">
        <v>9.6321125030517507</v>
      </c>
      <c r="D28">
        <v>1.3979999999999999E-2</v>
      </c>
      <c r="E28">
        <v>10.0988347530364</v>
      </c>
      <c r="F28">
        <v>1.3979999999999999E-2</v>
      </c>
      <c r="G28">
        <v>8.1520292758941597</v>
      </c>
      <c r="H28">
        <v>1.3979999999999999E-2</v>
      </c>
      <c r="I28" s="3">
        <f t="shared" si="0"/>
        <v>9.2943255106607694</v>
      </c>
      <c r="J28" s="3">
        <f t="shared" si="1"/>
        <v>1.3979999999999999E-2</v>
      </c>
    </row>
    <row r="29" spans="1:10" x14ac:dyDescent="0.3">
      <c r="A29">
        <v>28</v>
      </c>
      <c r="B29" t="s">
        <v>30</v>
      </c>
      <c r="C29">
        <v>9.2531902790069491</v>
      </c>
      <c r="D29">
        <v>1.4376E-2</v>
      </c>
      <c r="E29">
        <v>6.7333691120147696</v>
      </c>
      <c r="F29">
        <v>1.4376E-2</v>
      </c>
      <c r="G29">
        <v>9.7035269737243599</v>
      </c>
      <c r="H29">
        <v>1.4376E-2</v>
      </c>
      <c r="I29" s="3">
        <f t="shared" si="0"/>
        <v>8.5633621215820259</v>
      </c>
      <c r="J29" s="3">
        <f t="shared" si="1"/>
        <v>1.4376E-2</v>
      </c>
    </row>
    <row r="30" spans="1:10" x14ac:dyDescent="0.3">
      <c r="A30">
        <v>29</v>
      </c>
      <c r="B30" t="s">
        <v>31</v>
      </c>
      <c r="C30">
        <v>16.749397039413399</v>
      </c>
      <c r="D30">
        <v>2.5759999999999901E-2</v>
      </c>
      <c r="E30">
        <v>18.593427419662401</v>
      </c>
      <c r="F30">
        <v>2.5759999999999901E-2</v>
      </c>
      <c r="G30">
        <v>21.022898912429799</v>
      </c>
      <c r="H30">
        <v>2.5759999999999901E-2</v>
      </c>
      <c r="I30" s="3">
        <f t="shared" si="0"/>
        <v>18.788574457168533</v>
      </c>
      <c r="J30" s="3">
        <f t="shared" si="1"/>
        <v>2.5759999999999905E-2</v>
      </c>
    </row>
    <row r="31" spans="1:10" x14ac:dyDescent="0.3">
      <c r="A31">
        <v>30</v>
      </c>
      <c r="B31" t="s">
        <v>32</v>
      </c>
      <c r="C31">
        <v>7.57566046714782</v>
      </c>
      <c r="D31">
        <v>1.4291999999999999E-2</v>
      </c>
      <c r="E31">
        <v>7.1220076084136901</v>
      </c>
      <c r="F31">
        <v>1.4291999999999999E-2</v>
      </c>
      <c r="G31">
        <v>8.04876208305358</v>
      </c>
      <c r="H31">
        <v>1.4291999999999999E-2</v>
      </c>
      <c r="I31" s="3">
        <f t="shared" si="0"/>
        <v>7.58214338620503</v>
      </c>
      <c r="J31" s="3">
        <f t="shared" si="1"/>
        <v>1.4291999999999999E-2</v>
      </c>
    </row>
    <row r="32" spans="1:10" x14ac:dyDescent="0.3">
      <c r="A32">
        <v>31</v>
      </c>
      <c r="B32" t="s">
        <v>33</v>
      </c>
      <c r="C32">
        <v>6.60841631889343</v>
      </c>
      <c r="D32">
        <v>5.8249999999999899E-2</v>
      </c>
      <c r="E32">
        <v>6.3175137042999197</v>
      </c>
      <c r="F32">
        <v>5.8201999999999997E-2</v>
      </c>
      <c r="G32">
        <v>5.9982602596282897</v>
      </c>
      <c r="H32">
        <v>5.8186000000000002E-2</v>
      </c>
      <c r="I32" s="3">
        <f t="shared" si="0"/>
        <v>6.3080634276072125</v>
      </c>
      <c r="J32" s="3">
        <f t="shared" si="1"/>
        <v>5.8212666666666635E-2</v>
      </c>
    </row>
    <row r="33" spans="1:10" x14ac:dyDescent="0.3">
      <c r="A33">
        <v>32</v>
      </c>
      <c r="B33" t="s">
        <v>34</v>
      </c>
      <c r="C33">
        <v>6.6975982189178396</v>
      </c>
      <c r="D33">
        <v>5.8529999999999999E-2</v>
      </c>
      <c r="E33">
        <v>7.6160917282104403</v>
      </c>
      <c r="F33">
        <v>5.8513999999999997E-2</v>
      </c>
      <c r="G33">
        <v>6.1926641464233398</v>
      </c>
      <c r="H33">
        <v>5.8529999999999999E-2</v>
      </c>
      <c r="I33" s="3">
        <f t="shared" si="0"/>
        <v>6.8354513645172075</v>
      </c>
      <c r="J33" s="3">
        <f t="shared" si="1"/>
        <v>5.8524666666666669E-2</v>
      </c>
    </row>
    <row r="34" spans="1:10" x14ac:dyDescent="0.3">
      <c r="A34">
        <v>33</v>
      </c>
      <c r="B34" t="s">
        <v>35</v>
      </c>
      <c r="C34">
        <v>7.4583461284637398</v>
      </c>
      <c r="D34">
        <v>5.4494000000000001E-2</v>
      </c>
      <c r="E34">
        <v>5.6849365234375</v>
      </c>
      <c r="F34">
        <v>5.4494000000000001E-2</v>
      </c>
      <c r="G34">
        <v>5.96595931053161</v>
      </c>
      <c r="H34">
        <v>5.4494000000000001E-2</v>
      </c>
      <c r="I34" s="3">
        <f t="shared" si="0"/>
        <v>6.3697473208109505</v>
      </c>
      <c r="J34" s="3">
        <f t="shared" si="1"/>
        <v>5.4494000000000008E-2</v>
      </c>
    </row>
    <row r="35" spans="1:10" x14ac:dyDescent="0.3">
      <c r="A35">
        <v>34</v>
      </c>
      <c r="B35" t="s">
        <v>36</v>
      </c>
      <c r="C35">
        <v>5.4226672649383501</v>
      </c>
      <c r="D35">
        <v>5.176E-3</v>
      </c>
      <c r="E35">
        <v>6.46190929412841</v>
      </c>
      <c r="F35">
        <v>5.2653999999999999E-2</v>
      </c>
      <c r="G35">
        <v>6.3913576602935702</v>
      </c>
      <c r="H35">
        <v>5.2669999999999897E-2</v>
      </c>
      <c r="I35" s="3">
        <f t="shared" si="0"/>
        <v>6.0919780731201101</v>
      </c>
      <c r="J35" s="3">
        <f t="shared" si="1"/>
        <v>3.6833333333333301E-2</v>
      </c>
    </row>
    <row r="36" spans="1:10" x14ac:dyDescent="0.3">
      <c r="A36">
        <v>35</v>
      </c>
      <c r="B36" t="s">
        <v>37</v>
      </c>
      <c r="C36">
        <v>6.7195842266082701</v>
      </c>
      <c r="D36">
        <v>5.6149999999999999E-2</v>
      </c>
      <c r="E36">
        <v>6.7623505592346103</v>
      </c>
      <c r="F36">
        <v>5.6205999999999999E-2</v>
      </c>
      <c r="G36">
        <v>8.2139663696288991</v>
      </c>
      <c r="H36">
        <v>5.6149999999999999E-2</v>
      </c>
      <c r="I36" s="3">
        <f t="shared" si="0"/>
        <v>7.2319670518239265</v>
      </c>
      <c r="J36" s="3">
        <f t="shared" si="1"/>
        <v>5.6168666666666665E-2</v>
      </c>
    </row>
    <row r="37" spans="1:10" x14ac:dyDescent="0.3">
      <c r="A37">
        <v>36</v>
      </c>
      <c r="B37" t="s">
        <v>38</v>
      </c>
      <c r="C37">
        <v>5.6024012565612704</v>
      </c>
      <c r="D37">
        <v>1.2801999999999999E-2</v>
      </c>
      <c r="E37">
        <v>5.9825811386108398</v>
      </c>
      <c r="F37">
        <v>4.4215999999999998E-2</v>
      </c>
      <c r="G37">
        <v>6.5830178260803196</v>
      </c>
      <c r="H37">
        <v>4.4207999999999997E-2</v>
      </c>
      <c r="I37" s="3">
        <f t="shared" si="0"/>
        <v>6.05600007375081</v>
      </c>
      <c r="J37" s="3">
        <f t="shared" si="1"/>
        <v>3.3742000000000001E-2</v>
      </c>
    </row>
    <row r="38" spans="1:10" x14ac:dyDescent="0.3">
      <c r="A38">
        <v>37</v>
      </c>
      <c r="B38" t="s">
        <v>39</v>
      </c>
      <c r="C38">
        <v>4.8539485931396396</v>
      </c>
      <c r="D38">
        <v>1.0432E-2</v>
      </c>
      <c r="E38">
        <v>4.6686105728149396</v>
      </c>
      <c r="F38">
        <v>1.0423999999999999E-2</v>
      </c>
      <c r="G38">
        <v>5.23427414894104</v>
      </c>
      <c r="H38">
        <v>1.0408000000000001E-2</v>
      </c>
      <c r="I38" s="3">
        <f t="shared" si="0"/>
        <v>4.9189444382985394</v>
      </c>
      <c r="J38" s="3">
        <f t="shared" si="1"/>
        <v>1.0421333333333333E-2</v>
      </c>
    </row>
    <row r="39" spans="1:10" x14ac:dyDescent="0.3">
      <c r="A39">
        <v>38</v>
      </c>
      <c r="B39" t="s">
        <v>40</v>
      </c>
      <c r="C39">
        <v>5.6955847740173304</v>
      </c>
      <c r="D39">
        <v>3.5136000000000001E-2</v>
      </c>
      <c r="E39">
        <v>6.6516981124877903</v>
      </c>
      <c r="F39">
        <v>3.5136000000000001E-2</v>
      </c>
      <c r="G39">
        <v>6.3779909610748202</v>
      </c>
      <c r="H39">
        <v>3.5136000000000001E-2</v>
      </c>
      <c r="I39" s="3">
        <f t="shared" si="0"/>
        <v>6.2417579491933139</v>
      </c>
      <c r="J39" s="3">
        <f t="shared" si="1"/>
        <v>3.5136000000000001E-2</v>
      </c>
    </row>
    <row r="40" spans="1:10" x14ac:dyDescent="0.3">
      <c r="A40">
        <v>39</v>
      </c>
      <c r="B40" t="s">
        <v>41</v>
      </c>
      <c r="C40">
        <v>6.9554054737091002</v>
      </c>
      <c r="D40">
        <v>1.0659999999999999E-2</v>
      </c>
      <c r="E40">
        <v>6.0749866962432799</v>
      </c>
      <c r="F40">
        <v>1.0619999999999999E-2</v>
      </c>
      <c r="G40">
        <v>8.17669677734375</v>
      </c>
      <c r="H40">
        <v>1.0619999999999999E-2</v>
      </c>
      <c r="I40" s="3">
        <f t="shared" si="0"/>
        <v>7.0690296490987095</v>
      </c>
      <c r="J40" s="3">
        <f t="shared" si="1"/>
        <v>1.0633333333333333E-2</v>
      </c>
    </row>
    <row r="41" spans="1:10" x14ac:dyDescent="0.3">
      <c r="A41">
        <v>40</v>
      </c>
      <c r="B41" t="s">
        <v>42</v>
      </c>
      <c r="C41">
        <v>4.4820756912231401</v>
      </c>
      <c r="D41">
        <v>1.05499999999999E-2</v>
      </c>
      <c r="E41">
        <v>4.6449708938598597</v>
      </c>
      <c r="F41">
        <v>1.0541999999999999E-2</v>
      </c>
      <c r="G41">
        <v>5.48707771301269</v>
      </c>
      <c r="H41">
        <v>3.9587999999999998E-2</v>
      </c>
      <c r="I41" s="3">
        <f t="shared" si="0"/>
        <v>4.8713747660318969</v>
      </c>
      <c r="J41" s="3">
        <f t="shared" si="1"/>
        <v>2.0226666666666632E-2</v>
      </c>
    </row>
    <row r="42" spans="1:10" x14ac:dyDescent="0.3">
      <c r="A42">
        <v>41</v>
      </c>
      <c r="B42" t="s">
        <v>43</v>
      </c>
      <c r="C42">
        <v>4.8343348503112704</v>
      </c>
      <c r="D42">
        <v>1.3202E-2</v>
      </c>
      <c r="E42">
        <v>5.0960023403167698</v>
      </c>
      <c r="F42">
        <v>1.3362000000000001E-2</v>
      </c>
      <c r="G42">
        <v>4.81359839439392</v>
      </c>
      <c r="H42">
        <v>1.3202E-2</v>
      </c>
      <c r="I42" s="3">
        <f t="shared" si="0"/>
        <v>4.9146451950073207</v>
      </c>
      <c r="J42" s="3">
        <f t="shared" si="1"/>
        <v>1.3255333333333334E-2</v>
      </c>
    </row>
    <row r="43" spans="1:10" x14ac:dyDescent="0.3">
      <c r="A43">
        <v>42</v>
      </c>
      <c r="B43" t="s">
        <v>44</v>
      </c>
      <c r="C43">
        <v>5.0900950431823704</v>
      </c>
      <c r="D43">
        <v>1.0552000000000001E-2</v>
      </c>
      <c r="E43">
        <v>8.8476197719573904</v>
      </c>
      <c r="F43">
        <v>1.0552000000000001E-2</v>
      </c>
      <c r="G43">
        <v>5.8745462894439697</v>
      </c>
      <c r="H43">
        <v>1.0552000000000001E-2</v>
      </c>
      <c r="I43" s="3">
        <f t="shared" si="0"/>
        <v>6.6040870348612435</v>
      </c>
      <c r="J43" s="3">
        <f t="shared" si="1"/>
        <v>1.0552000000000001E-2</v>
      </c>
    </row>
    <row r="44" spans="1:10" x14ac:dyDescent="0.3">
      <c r="A44">
        <v>43</v>
      </c>
      <c r="B44" t="s">
        <v>45</v>
      </c>
      <c r="C44">
        <v>8.0632479190826398</v>
      </c>
      <c r="D44">
        <v>6.1269999999999998E-2</v>
      </c>
      <c r="E44">
        <v>7.1279554367065403</v>
      </c>
      <c r="F44">
        <v>6.1342000000000001E-2</v>
      </c>
      <c r="G44">
        <v>6.66737484931945</v>
      </c>
      <c r="H44">
        <v>6.1221999999999999E-2</v>
      </c>
      <c r="I44" s="3">
        <f t="shared" si="0"/>
        <v>7.2861927350362103</v>
      </c>
      <c r="J44" s="3">
        <f t="shared" si="1"/>
        <v>6.1277999999999999E-2</v>
      </c>
    </row>
    <row r="45" spans="1:10" x14ac:dyDescent="0.3">
      <c r="A45">
        <v>44</v>
      </c>
      <c r="B45" t="s">
        <v>46</v>
      </c>
      <c r="C45">
        <v>17.999655008316001</v>
      </c>
      <c r="D45">
        <v>0.20646800000000001</v>
      </c>
      <c r="E45">
        <v>15.8756382465362</v>
      </c>
      <c r="F45">
        <v>0.13916799999999999</v>
      </c>
      <c r="G45">
        <v>14.774468898773099</v>
      </c>
      <c r="H45">
        <v>0.13883999999999999</v>
      </c>
      <c r="I45" s="3">
        <f>(C45+E45+G45)/3</f>
        <v>16.216587384541768</v>
      </c>
      <c r="J45" s="3">
        <f t="shared" si="1"/>
        <v>0.161492</v>
      </c>
    </row>
    <row r="46" spans="1:10" x14ac:dyDescent="0.3">
      <c r="A46">
        <v>45</v>
      </c>
      <c r="B46" t="s">
        <v>47</v>
      </c>
      <c r="C46">
        <v>6.4353454113006503</v>
      </c>
      <c r="D46">
        <v>1.2034E-2</v>
      </c>
      <c r="E46">
        <v>5.6604635715484601</v>
      </c>
      <c r="F46">
        <v>1.2026E-2</v>
      </c>
      <c r="G46">
        <v>5.9868607521057102</v>
      </c>
      <c r="H46">
        <v>1.2017999999999999E-2</v>
      </c>
      <c r="I46" s="3">
        <f t="shared" si="0"/>
        <v>6.027556578318273</v>
      </c>
      <c r="J46" s="3">
        <f t="shared" si="1"/>
        <v>1.2026E-2</v>
      </c>
    </row>
    <row r="47" spans="1:10" x14ac:dyDescent="0.3">
      <c r="A47">
        <v>46</v>
      </c>
      <c r="B47" t="s">
        <v>48</v>
      </c>
      <c r="C47">
        <v>5.7581045627593896</v>
      </c>
      <c r="D47">
        <v>1.7069999999999998E-2</v>
      </c>
      <c r="E47">
        <v>5.9667594432830802</v>
      </c>
      <c r="F47">
        <v>1.7069999999999998E-2</v>
      </c>
      <c r="G47">
        <v>7.0163006782531703</v>
      </c>
      <c r="H47">
        <v>1.2030000000000001E-2</v>
      </c>
      <c r="I47" s="3">
        <f t="shared" si="0"/>
        <v>6.2470548947652134</v>
      </c>
      <c r="J47" s="3">
        <f t="shared" si="1"/>
        <v>1.5389999999999999E-2</v>
      </c>
    </row>
    <row r="48" spans="1:10" x14ac:dyDescent="0.3">
      <c r="A48">
        <v>47</v>
      </c>
      <c r="B48" t="s">
        <v>49</v>
      </c>
      <c r="C48">
        <v>7.8660919666290203</v>
      </c>
      <c r="D48">
        <v>1.9463999999999999E-2</v>
      </c>
      <c r="E48">
        <v>6.48951935768127</v>
      </c>
      <c r="F48">
        <v>1.9472E-2</v>
      </c>
      <c r="G48">
        <v>7.9502689838409397</v>
      </c>
      <c r="H48">
        <v>1.9463999999999999E-2</v>
      </c>
      <c r="I48" s="3">
        <f t="shared" si="0"/>
        <v>7.4352934360504106</v>
      </c>
      <c r="J48" s="3">
        <f t="shared" si="1"/>
        <v>1.9466666666666663E-2</v>
      </c>
    </row>
    <row r="49" spans="1:10" x14ac:dyDescent="0.3">
      <c r="A49">
        <v>48</v>
      </c>
      <c r="B49" t="s">
        <v>50</v>
      </c>
      <c r="C49">
        <v>6.7589881420135498</v>
      </c>
      <c r="D49">
        <v>1.8994E-2</v>
      </c>
      <c r="E49">
        <v>6.5811882019042898</v>
      </c>
      <c r="F49">
        <v>1.9002000000000002E-2</v>
      </c>
      <c r="G49">
        <v>7.23827624320983</v>
      </c>
      <c r="H49">
        <v>1.8994E-2</v>
      </c>
      <c r="I49" s="3">
        <f t="shared" si="0"/>
        <v>6.8594841957092241</v>
      </c>
      <c r="J49" s="3">
        <f t="shared" si="1"/>
        <v>1.8996666666666665E-2</v>
      </c>
    </row>
    <row r="50" spans="1:10" x14ac:dyDescent="0.3">
      <c r="A50">
        <v>49</v>
      </c>
      <c r="B50" t="s">
        <v>51</v>
      </c>
      <c r="C50">
        <v>9.4632353782653809</v>
      </c>
      <c r="D50">
        <v>1.7233999999999999E-2</v>
      </c>
      <c r="E50">
        <v>6.0439634323120099</v>
      </c>
      <c r="F50">
        <v>1.7233999999999999E-2</v>
      </c>
      <c r="G50">
        <v>8.2455136775970406</v>
      </c>
      <c r="H50">
        <v>1.7233999999999999E-2</v>
      </c>
      <c r="I50" s="3">
        <f t="shared" si="0"/>
        <v>7.9175708293914768</v>
      </c>
      <c r="J50" s="3">
        <f t="shared" si="1"/>
        <v>1.7233999999999999E-2</v>
      </c>
    </row>
    <row r="51" spans="1:10" x14ac:dyDescent="0.3">
      <c r="A51">
        <v>50</v>
      </c>
      <c r="B51" t="s">
        <v>52</v>
      </c>
      <c r="C51">
        <v>8.1437542438506991</v>
      </c>
      <c r="D51">
        <v>1.6934000000000001E-2</v>
      </c>
      <c r="E51">
        <v>6.2945051193237296</v>
      </c>
      <c r="F51">
        <v>1.6934000000000001E-2</v>
      </c>
      <c r="G51">
        <v>6.4660618305206299</v>
      </c>
      <c r="H51">
        <v>1.6926E-2</v>
      </c>
      <c r="I51" s="3">
        <f t="shared" si="0"/>
        <v>6.9681070645650189</v>
      </c>
      <c r="J51" s="3">
        <f t="shared" si="1"/>
        <v>1.6931333333333336E-2</v>
      </c>
    </row>
    <row r="52" spans="1:10" x14ac:dyDescent="0.3">
      <c r="A52">
        <v>51</v>
      </c>
      <c r="B52" t="s">
        <v>53</v>
      </c>
      <c r="C52">
        <v>8.7479054927825892</v>
      </c>
      <c r="D52">
        <v>1.8551999999999999E-2</v>
      </c>
      <c r="E52">
        <v>8.2234728336334193</v>
      </c>
      <c r="F52">
        <v>1.8568000000000001E-2</v>
      </c>
      <c r="G52">
        <v>7.8977360725402797</v>
      </c>
      <c r="H52">
        <v>1.8568000000000001E-2</v>
      </c>
      <c r="I52" s="3">
        <f t="shared" si="0"/>
        <v>8.2897047996520961</v>
      </c>
      <c r="J52" s="3">
        <f t="shared" si="1"/>
        <v>1.8562666666666668E-2</v>
      </c>
    </row>
    <row r="53" spans="1:10" x14ac:dyDescent="0.3">
      <c r="A53">
        <v>52</v>
      </c>
      <c r="B53" t="s">
        <v>54</v>
      </c>
      <c r="C53">
        <v>8.1536695957183802</v>
      </c>
      <c r="D53">
        <v>1.8046E-2</v>
      </c>
      <c r="E53">
        <v>8.6928238868713308</v>
      </c>
      <c r="F53">
        <v>1.8054000000000001E-2</v>
      </c>
      <c r="G53">
        <v>9.0308432579040492</v>
      </c>
      <c r="H53">
        <v>4.7092000000000002E-2</v>
      </c>
      <c r="I53" s="3">
        <f t="shared" si="0"/>
        <v>8.6257789134979195</v>
      </c>
      <c r="J53" s="3">
        <f t="shared" si="1"/>
        <v>2.7730666666666667E-2</v>
      </c>
    </row>
    <row r="54" spans="1:10" x14ac:dyDescent="0.3">
      <c r="A54">
        <v>53</v>
      </c>
      <c r="B54" t="s">
        <v>55</v>
      </c>
      <c r="C54">
        <v>10.507971048355101</v>
      </c>
      <c r="D54">
        <v>0.109098</v>
      </c>
      <c r="E54">
        <v>11.364001035690301</v>
      </c>
      <c r="F54">
        <v>0.109058</v>
      </c>
      <c r="G54">
        <v>9.8040895462036097</v>
      </c>
      <c r="H54">
        <v>0.109058</v>
      </c>
      <c r="I54" s="3">
        <f t="shared" si="0"/>
        <v>10.558687210083004</v>
      </c>
      <c r="J54" s="3">
        <f t="shared" si="1"/>
        <v>0.10907133333333334</v>
      </c>
    </row>
    <row r="55" spans="1:10" x14ac:dyDescent="0.3">
      <c r="A55">
        <v>54</v>
      </c>
      <c r="B55" t="s">
        <v>56</v>
      </c>
      <c r="C55">
        <v>10.051947593688899</v>
      </c>
      <c r="D55">
        <v>6.4514000000000002E-2</v>
      </c>
      <c r="E55">
        <v>10.0495052337646</v>
      </c>
      <c r="F55">
        <v>6.4521999999999996E-2</v>
      </c>
      <c r="G55">
        <v>10.1942048072814</v>
      </c>
      <c r="H55">
        <v>6.4514000000000002E-2</v>
      </c>
      <c r="I55" s="3">
        <f t="shared" si="0"/>
        <v>10.098552544911634</v>
      </c>
      <c r="J55" s="3">
        <f t="shared" si="1"/>
        <v>6.4516666666666667E-2</v>
      </c>
    </row>
    <row r="56" spans="1:10" x14ac:dyDescent="0.3">
      <c r="A56">
        <v>55</v>
      </c>
      <c r="B56" t="s">
        <v>57</v>
      </c>
      <c r="C56">
        <v>7.1823985576629603</v>
      </c>
      <c r="D56">
        <v>1.7639999999999999E-2</v>
      </c>
      <c r="E56">
        <v>10.7077393531799</v>
      </c>
      <c r="F56">
        <v>1.7639999999999999E-2</v>
      </c>
      <c r="G56">
        <v>7.5597126483917201</v>
      </c>
      <c r="H56">
        <v>1.7639999999999999E-2</v>
      </c>
      <c r="I56" s="3">
        <f t="shared" si="0"/>
        <v>8.4832835197448606</v>
      </c>
      <c r="J56" s="3">
        <f t="shared" si="1"/>
        <v>1.7639999999999999E-2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2026-03-23T11:09:43Z</dcterms:modified>
</cp:coreProperties>
</file>