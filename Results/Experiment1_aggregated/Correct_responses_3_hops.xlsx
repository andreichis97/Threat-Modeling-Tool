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79" i="1" l="1"/>
  <c r="W79" i="1"/>
  <c r="X79" i="1"/>
  <c r="Y79" i="1"/>
  <c r="Z79" i="1"/>
  <c r="U79" i="1"/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V73" i="1" l="1"/>
  <c r="Y73" i="1" s="1"/>
  <c r="V74" i="1"/>
  <c r="Y74" i="1" s="1"/>
  <c r="U73" i="1"/>
  <c r="X73" i="1" s="1"/>
  <c r="W70" i="1"/>
  <c r="Z70" i="1" s="1"/>
  <c r="U74" i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X67" i="1" s="1"/>
  <c r="U77" i="1"/>
  <c r="X77" i="1" s="1"/>
  <c r="W69" i="1"/>
  <c r="Z69" i="1" s="1"/>
  <c r="V77" i="1"/>
  <c r="Y77" i="1" s="1"/>
  <c r="V68" i="1"/>
  <c r="Y68" i="1" s="1"/>
  <c r="U71" i="1"/>
  <c r="X71" i="1" s="1"/>
  <c r="W67" i="1"/>
  <c r="Z67" i="1" s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Y67" i="1" s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M60" i="1" l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<sst xmlns="http://schemas.openxmlformats.org/spreadsheetml/2006/main" count="428" uniqueCount="85">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</sst>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61" workbookViewId="0">
      <selection activeCell="W84" sqref="W84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9</v>
      </c>
      <c r="E7">
        <v>6</v>
      </c>
      <c r="F7" t="s">
        <v>8</v>
      </c>
      <c r="G7" t="s">
        <v>9</v>
      </c>
      <c r="I7">
        <v>6</v>
      </c>
      <c r="J7" t="s">
        <v>8</v>
      </c>
      <c r="K7" t="s">
        <v>9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3</v>
      </c>
      <c r="E11">
        <v>10</v>
      </c>
      <c r="F11" t="s">
        <v>13</v>
      </c>
      <c r="G11" t="s">
        <v>3</v>
      </c>
      <c r="I11">
        <v>10</v>
      </c>
      <c r="J11" t="s">
        <v>13</v>
      </c>
      <c r="K11" t="s">
        <v>3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3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9</v>
      </c>
      <c r="E13">
        <v>12</v>
      </c>
      <c r="F13" t="s">
        <v>15</v>
      </c>
      <c r="G13" t="s">
        <v>3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3</v>
      </c>
      <c r="E14">
        <v>13</v>
      </c>
      <c r="F14" t="s">
        <v>17</v>
      </c>
      <c r="G14" t="s">
        <v>9</v>
      </c>
      <c r="I14">
        <v>13</v>
      </c>
      <c r="J14" t="s">
        <v>17</v>
      </c>
      <c r="K14" t="s">
        <v>16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9</v>
      </c>
      <c r="E17">
        <v>16</v>
      </c>
      <c r="F17" t="s">
        <v>20</v>
      </c>
      <c r="G17" t="s">
        <v>9</v>
      </c>
      <c r="I17">
        <v>16</v>
      </c>
      <c r="J17" t="s">
        <v>20</v>
      </c>
      <c r="K17" t="s">
        <v>9</v>
      </c>
    </row>
    <row r="18" spans="1:11" x14ac:dyDescent="0.3">
      <c r="A18">
        <v>17</v>
      </c>
      <c r="B18" t="s">
        <v>21</v>
      </c>
      <c r="C18" t="s">
        <v>9</v>
      </c>
      <c r="E18">
        <v>17</v>
      </c>
      <c r="F18" t="s">
        <v>21</v>
      </c>
      <c r="G18" t="s">
        <v>9</v>
      </c>
      <c r="I18">
        <v>17</v>
      </c>
      <c r="J18" t="s">
        <v>21</v>
      </c>
      <c r="K18" t="s">
        <v>9</v>
      </c>
    </row>
    <row r="19" spans="1:11" x14ac:dyDescent="0.3">
      <c r="A19">
        <v>18</v>
      </c>
      <c r="B19" t="s">
        <v>22</v>
      </c>
      <c r="C19" t="s">
        <v>9</v>
      </c>
      <c r="E19">
        <v>18</v>
      </c>
      <c r="F19" t="s">
        <v>22</v>
      </c>
      <c r="G19" t="s">
        <v>9</v>
      </c>
      <c r="I19">
        <v>18</v>
      </c>
      <c r="J19" t="s">
        <v>22</v>
      </c>
      <c r="K19" t="s">
        <v>9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9</v>
      </c>
    </row>
    <row r="21" spans="1:11" x14ac:dyDescent="0.3">
      <c r="A21">
        <v>20</v>
      </c>
      <c r="B21" t="s">
        <v>24</v>
      </c>
      <c r="C21" t="s">
        <v>3</v>
      </c>
      <c r="E21">
        <v>20</v>
      </c>
      <c r="F21" t="s">
        <v>24</v>
      </c>
      <c r="G21" t="s">
        <v>3</v>
      </c>
      <c r="I21">
        <v>20</v>
      </c>
      <c r="J21" t="s">
        <v>24</v>
      </c>
      <c r="K21" t="s">
        <v>9</v>
      </c>
    </row>
    <row r="22" spans="1:11" x14ac:dyDescent="0.3">
      <c r="A22">
        <v>21</v>
      </c>
      <c r="B22" t="s">
        <v>25</v>
      </c>
      <c r="C22" t="s">
        <v>3</v>
      </c>
      <c r="E22">
        <v>21</v>
      </c>
      <c r="F22" t="s">
        <v>25</v>
      </c>
      <c r="G22" t="s">
        <v>3</v>
      </c>
      <c r="I22">
        <v>21</v>
      </c>
      <c r="J22" t="s">
        <v>25</v>
      </c>
      <c r="K22" t="s">
        <v>3</v>
      </c>
    </row>
    <row r="23" spans="1:11" x14ac:dyDescent="0.3">
      <c r="A23">
        <v>22</v>
      </c>
      <c r="B23" t="s">
        <v>26</v>
      </c>
      <c r="C23" t="s">
        <v>9</v>
      </c>
      <c r="E23">
        <v>22</v>
      </c>
      <c r="F23" t="s">
        <v>26</v>
      </c>
      <c r="G23" t="s">
        <v>9</v>
      </c>
      <c r="I23">
        <v>22</v>
      </c>
      <c r="J23" t="s">
        <v>26</v>
      </c>
      <c r="K23" t="s">
        <v>9</v>
      </c>
    </row>
    <row r="24" spans="1:11" x14ac:dyDescent="0.3">
      <c r="A24">
        <v>23</v>
      </c>
      <c r="B24" t="s">
        <v>27</v>
      </c>
      <c r="C24" t="s">
        <v>9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3</v>
      </c>
      <c r="E25">
        <v>24</v>
      </c>
      <c r="F25" t="s">
        <v>28</v>
      </c>
      <c r="G25" t="s">
        <v>3</v>
      </c>
      <c r="I25">
        <v>24</v>
      </c>
      <c r="J25" t="s">
        <v>28</v>
      </c>
      <c r="K25" t="s">
        <v>9</v>
      </c>
    </row>
    <row r="26" spans="1:11" x14ac:dyDescent="0.3">
      <c r="A26">
        <v>25</v>
      </c>
      <c r="B26" t="s">
        <v>29</v>
      </c>
      <c r="C26" t="s">
        <v>9</v>
      </c>
      <c r="E26">
        <v>25</v>
      </c>
      <c r="F26" t="s">
        <v>29</v>
      </c>
      <c r="G26" t="s">
        <v>3</v>
      </c>
      <c r="I26">
        <v>25</v>
      </c>
      <c r="J26" t="s">
        <v>29</v>
      </c>
      <c r="K26" t="s">
        <v>3</v>
      </c>
    </row>
    <row r="27" spans="1:11" x14ac:dyDescent="0.3">
      <c r="A27">
        <v>26</v>
      </c>
      <c r="B27" t="s">
        <v>30</v>
      </c>
      <c r="C27" t="s">
        <v>3</v>
      </c>
      <c r="E27">
        <v>26</v>
      </c>
      <c r="F27" t="s">
        <v>30</v>
      </c>
      <c r="G27" t="s">
        <v>3</v>
      </c>
      <c r="I27">
        <v>26</v>
      </c>
      <c r="J27" t="s">
        <v>30</v>
      </c>
      <c r="K27" t="s">
        <v>3</v>
      </c>
    </row>
    <row r="28" spans="1:11" x14ac:dyDescent="0.3">
      <c r="A28">
        <v>27</v>
      </c>
      <c r="B28" t="s">
        <v>31</v>
      </c>
      <c r="C28" t="s">
        <v>3</v>
      </c>
      <c r="E28">
        <v>27</v>
      </c>
      <c r="F28" t="s">
        <v>31</v>
      </c>
      <c r="G28" t="s">
        <v>3</v>
      </c>
      <c r="I28">
        <v>27</v>
      </c>
      <c r="J28" t="s">
        <v>31</v>
      </c>
      <c r="K28" t="s">
        <v>3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3</v>
      </c>
      <c r="E31">
        <v>30</v>
      </c>
      <c r="F31" t="s">
        <v>34</v>
      </c>
      <c r="G31" t="s">
        <v>3</v>
      </c>
      <c r="I31">
        <v>30</v>
      </c>
      <c r="J31" t="s">
        <v>34</v>
      </c>
      <c r="K31" t="s">
        <v>3</v>
      </c>
    </row>
    <row r="32" spans="1:11" x14ac:dyDescent="0.3">
      <c r="A32">
        <v>31</v>
      </c>
      <c r="B32" t="s">
        <v>35</v>
      </c>
      <c r="C32" t="s">
        <v>3</v>
      </c>
      <c r="E32">
        <v>31</v>
      </c>
      <c r="F32" t="s">
        <v>35</v>
      </c>
      <c r="G32" t="s">
        <v>9</v>
      </c>
      <c r="I32">
        <v>31</v>
      </c>
      <c r="J32" t="s">
        <v>35</v>
      </c>
      <c r="K32" t="s">
        <v>3</v>
      </c>
    </row>
    <row r="33" spans="1:11" x14ac:dyDescent="0.3">
      <c r="A33">
        <v>32</v>
      </c>
      <c r="B33" t="s">
        <v>36</v>
      </c>
      <c r="C33" t="s">
        <v>9</v>
      </c>
      <c r="E33">
        <v>32</v>
      </c>
      <c r="F33" t="s">
        <v>36</v>
      </c>
      <c r="G33" t="s">
        <v>9</v>
      </c>
      <c r="I33">
        <v>32</v>
      </c>
      <c r="J33" t="s">
        <v>36</v>
      </c>
      <c r="K33" t="s">
        <v>9</v>
      </c>
    </row>
    <row r="34" spans="1:11" x14ac:dyDescent="0.3">
      <c r="A34">
        <v>33</v>
      </c>
      <c r="B34" t="s">
        <v>37</v>
      </c>
      <c r="C34" t="s">
        <v>9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9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3</v>
      </c>
    </row>
    <row r="36" spans="1:11" x14ac:dyDescent="0.3">
      <c r="A36">
        <v>35</v>
      </c>
      <c r="B36" t="s">
        <v>39</v>
      </c>
      <c r="C36" t="s">
        <v>9</v>
      </c>
      <c r="E36">
        <v>35</v>
      </c>
      <c r="F36" t="s">
        <v>39</v>
      </c>
      <c r="G36" t="s">
        <v>3</v>
      </c>
      <c r="I36">
        <v>35</v>
      </c>
      <c r="J36" t="s">
        <v>39</v>
      </c>
      <c r="K36" t="s">
        <v>9</v>
      </c>
    </row>
    <row r="37" spans="1:11" x14ac:dyDescent="0.3">
      <c r="A37">
        <v>36</v>
      </c>
      <c r="B37" t="s">
        <v>40</v>
      </c>
      <c r="C37" t="s">
        <v>9</v>
      </c>
      <c r="E37">
        <v>36</v>
      </c>
      <c r="F37" t="s">
        <v>40</v>
      </c>
      <c r="G37" t="s">
        <v>3</v>
      </c>
      <c r="I37">
        <v>36</v>
      </c>
      <c r="J37" t="s">
        <v>40</v>
      </c>
      <c r="K37" t="s">
        <v>9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3</v>
      </c>
      <c r="E41">
        <v>40</v>
      </c>
      <c r="F41" t="s">
        <v>44</v>
      </c>
      <c r="G41" t="s">
        <v>9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9</v>
      </c>
      <c r="E42">
        <v>41</v>
      </c>
      <c r="F42" t="s">
        <v>45</v>
      </c>
      <c r="G42" t="s">
        <v>16</v>
      </c>
      <c r="I42">
        <v>41</v>
      </c>
      <c r="J42" t="s">
        <v>45</v>
      </c>
      <c r="K42" t="s">
        <v>9</v>
      </c>
    </row>
    <row r="43" spans="1:11" x14ac:dyDescent="0.3">
      <c r="A43">
        <v>42</v>
      </c>
      <c r="B43" t="s">
        <v>46</v>
      </c>
      <c r="C43" t="s">
        <v>9</v>
      </c>
      <c r="E43">
        <v>42</v>
      </c>
      <c r="F43" t="s">
        <v>46</v>
      </c>
      <c r="G43" t="s">
        <v>9</v>
      </c>
      <c r="I43">
        <v>42</v>
      </c>
      <c r="J43" t="s">
        <v>46</v>
      </c>
      <c r="K43" t="s">
        <v>3</v>
      </c>
    </row>
    <row r="44" spans="1:11" x14ac:dyDescent="0.3">
      <c r="A44">
        <v>43</v>
      </c>
      <c r="B44" t="s">
        <v>47</v>
      </c>
      <c r="C44" t="s">
        <v>9</v>
      </c>
      <c r="E44">
        <v>43</v>
      </c>
      <c r="F44" t="s">
        <v>47</v>
      </c>
      <c r="G44" t="s">
        <v>9</v>
      </c>
      <c r="I44">
        <v>43</v>
      </c>
      <c r="J44" t="s">
        <v>47</v>
      </c>
      <c r="K44" t="s">
        <v>9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3</v>
      </c>
      <c r="I45">
        <v>44</v>
      </c>
      <c r="J45" t="s">
        <v>48</v>
      </c>
      <c r="K45" t="s">
        <v>9</v>
      </c>
    </row>
    <row r="46" spans="1:11" x14ac:dyDescent="0.3">
      <c r="A46">
        <v>45</v>
      </c>
      <c r="B46" t="s">
        <v>49</v>
      </c>
      <c r="C46" t="s">
        <v>9</v>
      </c>
      <c r="E46">
        <v>45</v>
      </c>
      <c r="F46" t="s">
        <v>49</v>
      </c>
      <c r="G46" t="s">
        <v>3</v>
      </c>
      <c r="I46">
        <v>45</v>
      </c>
      <c r="J46" t="s">
        <v>49</v>
      </c>
      <c r="K46" t="s">
        <v>3</v>
      </c>
    </row>
    <row r="47" spans="1:11" x14ac:dyDescent="0.3">
      <c r="A47">
        <v>46</v>
      </c>
      <c r="B47" t="s">
        <v>50</v>
      </c>
      <c r="C47" t="s">
        <v>3</v>
      </c>
      <c r="E47">
        <v>46</v>
      </c>
      <c r="F47" t="s">
        <v>50</v>
      </c>
      <c r="G47" t="s">
        <v>3</v>
      </c>
      <c r="I47">
        <v>46</v>
      </c>
      <c r="J47" t="s">
        <v>50</v>
      </c>
      <c r="K47" t="s">
        <v>3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16</v>
      </c>
      <c r="E49">
        <v>48</v>
      </c>
      <c r="F49" t="s">
        <v>52</v>
      </c>
      <c r="G49" t="s">
        <v>3</v>
      </c>
      <c r="I49">
        <v>48</v>
      </c>
      <c r="J49" t="s">
        <v>52</v>
      </c>
      <c r="K49" t="s">
        <v>9</v>
      </c>
    </row>
    <row r="50" spans="1:14" x14ac:dyDescent="0.3">
      <c r="A50">
        <v>49</v>
      </c>
      <c r="B50" t="s">
        <v>53</v>
      </c>
      <c r="C50" t="s">
        <v>9</v>
      </c>
      <c r="E50">
        <v>49</v>
      </c>
      <c r="F50" t="s">
        <v>53</v>
      </c>
      <c r="G50" t="s">
        <v>9</v>
      </c>
      <c r="I50">
        <v>49</v>
      </c>
      <c r="J50" t="s">
        <v>53</v>
      </c>
      <c r="K50" t="s">
        <v>9</v>
      </c>
    </row>
    <row r="51" spans="1:14" x14ac:dyDescent="0.3">
      <c r="A51">
        <v>50</v>
      </c>
      <c r="B51" t="s">
        <v>54</v>
      </c>
      <c r="C51" t="s">
        <v>3</v>
      </c>
      <c r="E51">
        <v>50</v>
      </c>
      <c r="F51" t="s">
        <v>54</v>
      </c>
      <c r="G51" t="s">
        <v>3</v>
      </c>
      <c r="I51">
        <v>50</v>
      </c>
      <c r="J51" t="s">
        <v>54</v>
      </c>
      <c r="K51" t="s">
        <v>3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3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3</v>
      </c>
      <c r="E54">
        <v>53</v>
      </c>
      <c r="F54" t="s">
        <v>57</v>
      </c>
      <c r="G54" t="s">
        <v>9</v>
      </c>
      <c r="I54">
        <v>53</v>
      </c>
      <c r="J54" t="s">
        <v>57</v>
      </c>
      <c r="K54" t="s">
        <v>3</v>
      </c>
    </row>
    <row r="55" spans="1:14" x14ac:dyDescent="0.3">
      <c r="A55">
        <v>54</v>
      </c>
      <c r="B55" t="s">
        <v>58</v>
      </c>
      <c r="C55" t="s">
        <v>9</v>
      </c>
      <c r="E55">
        <v>54</v>
      </c>
      <c r="F55" t="s">
        <v>58</v>
      </c>
      <c r="G55" t="s">
        <v>9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30</v>
      </c>
      <c r="E60" t="s">
        <v>62</v>
      </c>
      <c r="F60">
        <f>COUNTIF(G2:G56, "correct")</f>
        <v>36</v>
      </c>
      <c r="I60" t="s">
        <v>62</v>
      </c>
      <c r="J60">
        <f>COUNTIF(K2:K56, "correct")</f>
        <v>35</v>
      </c>
      <c r="L60" t="s">
        <v>62</v>
      </c>
      <c r="M60">
        <f>(B60+F60+J60)/3</f>
        <v>33.666666666666664</v>
      </c>
      <c r="N60" s="2">
        <f>M60/55</f>
        <v>0.61212121212121207</v>
      </c>
    </row>
    <row r="61" spans="1:14" x14ac:dyDescent="0.3">
      <c r="A61" t="s">
        <v>63</v>
      </c>
      <c r="B61">
        <f>COUNTIF(C2:C56, "partially_correct")</f>
        <v>21</v>
      </c>
      <c r="E61" t="s">
        <v>63</v>
      </c>
      <c r="F61">
        <f>COUNTIF(G2:G56, "partially_correct")</f>
        <v>15</v>
      </c>
      <c r="I61" t="s">
        <v>63</v>
      </c>
      <c r="J61">
        <f>COUNTIF(K2:K56, "partially_correct")</f>
        <v>16</v>
      </c>
      <c r="L61" t="s">
        <v>63</v>
      </c>
      <c r="M61">
        <f t="shared" ref="M61:M62" si="0">(B61+F61+J61)/3</f>
        <v>17.333333333333332</v>
      </c>
      <c r="N61" s="2">
        <f t="shared" ref="N61:N62" si="1">M61/55</f>
        <v>0.31515151515151513</v>
      </c>
    </row>
    <row r="62" spans="1:14" x14ac:dyDescent="0.3">
      <c r="A62" t="s">
        <v>64</v>
      </c>
      <c r="B62">
        <f>COUNTIF(C2:C56, "incorrect")</f>
        <v>4</v>
      </c>
      <c r="E62" t="s">
        <v>64</v>
      </c>
      <c r="F62">
        <f>COUNTIF(G2:G56, "incorrect")</f>
        <v>4</v>
      </c>
      <c r="I62" t="s">
        <v>64</v>
      </c>
      <c r="J62">
        <f>COUNTIF(K2:K56, "incorrect")</f>
        <v>4</v>
      </c>
      <c r="L62" t="s">
        <v>64</v>
      </c>
      <c r="M62">
        <f t="shared" si="0"/>
        <v>4</v>
      </c>
      <c r="N62" s="2">
        <f t="shared" si="1"/>
        <v>7.2727272727272724E-2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4</v>
      </c>
      <c r="D68">
        <f>COUNTIF(C7:C11, "partially_correct")</f>
        <v>1</v>
      </c>
      <c r="E68">
        <f>COUNTIF(C7:C11, "incorrect")</f>
        <v>0</v>
      </c>
      <c r="G68">
        <v>2</v>
      </c>
      <c r="H68" s="1" t="s">
        <v>70</v>
      </c>
      <c r="I68">
        <f>COUNTIF(G7:G11, "correct")</f>
        <v>4</v>
      </c>
      <c r="J68">
        <f>COUNTIF(G7:G11, "partially_correct")</f>
        <v>1</v>
      </c>
      <c r="K68">
        <f>COUNTIF(G7:G11, "incorrect")</f>
        <v>0</v>
      </c>
      <c r="M68">
        <v>2</v>
      </c>
      <c r="N68" s="1" t="s">
        <v>70</v>
      </c>
      <c r="O68">
        <f>COUNTIF(K7:K11, "correct")</f>
        <v>4</v>
      </c>
      <c r="P68">
        <f>COUNTIF(K7:K11, "partially_correct")</f>
        <v>1</v>
      </c>
      <c r="Q68">
        <f>COUNTIF(K7:K11, "incorrect")</f>
        <v>0</v>
      </c>
      <c r="S68">
        <v>2</v>
      </c>
      <c r="T68" s="1" t="s">
        <v>70</v>
      </c>
      <c r="U68">
        <f t="shared" ref="U68:U77" si="3">(C68+I68+O68)/3</f>
        <v>4</v>
      </c>
      <c r="V68">
        <f t="shared" ref="V68:V77" si="4">(D68+J68+P68)/3</f>
        <v>1</v>
      </c>
      <c r="W68">
        <f t="shared" ref="W68:W77" si="5">(E68+K68+Q68)/3</f>
        <v>0</v>
      </c>
      <c r="X68" s="2">
        <f t="shared" ref="X68:X77" si="6">U68/5</f>
        <v>0.8</v>
      </c>
      <c r="Y68" s="2">
        <f t="shared" si="2"/>
        <v>0.2</v>
      </c>
      <c r="Z68" s="2">
        <f t="shared" si="2"/>
        <v>0</v>
      </c>
    </row>
    <row r="69" spans="1:26" x14ac:dyDescent="0.3">
      <c r="A69">
        <v>3</v>
      </c>
      <c r="B69" s="1" t="s">
        <v>71</v>
      </c>
      <c r="C69">
        <f>COUNTIF(C12:C16, "correct")</f>
        <v>4</v>
      </c>
      <c r="D69">
        <f>COUNTIF(C12:C16, "partially_correct")</f>
        <v>1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4</v>
      </c>
      <c r="J69">
        <f>COUNTIF(G12:G16, "partially_correct")</f>
        <v>1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4</v>
      </c>
      <c r="P69">
        <f>COUNTIF(K12:K16, "partially_correct")</f>
        <v>0</v>
      </c>
      <c r="Q69">
        <f>COUNTIF(K12:K16, "incorrect")</f>
        <v>1</v>
      </c>
      <c r="S69">
        <v>3</v>
      </c>
      <c r="T69" s="1" t="s">
        <v>71</v>
      </c>
      <c r="U69">
        <f t="shared" si="3"/>
        <v>4</v>
      </c>
      <c r="V69">
        <f t="shared" si="4"/>
        <v>0.66666666666666663</v>
      </c>
      <c r="W69">
        <f t="shared" si="5"/>
        <v>0.33333333333333331</v>
      </c>
      <c r="X69" s="2">
        <f t="shared" si="6"/>
        <v>0.8</v>
      </c>
      <c r="Y69" s="2">
        <f t="shared" si="2"/>
        <v>0.13333333333333333</v>
      </c>
      <c r="Z69" s="2">
        <f t="shared" si="2"/>
        <v>6.6666666666666666E-2</v>
      </c>
    </row>
    <row r="70" spans="1:26" x14ac:dyDescent="0.3">
      <c r="A70">
        <v>4</v>
      </c>
      <c r="B70" s="1" t="s">
        <v>72</v>
      </c>
      <c r="C70">
        <f>COUNTIF(C17:C21, "correct")</f>
        <v>1</v>
      </c>
      <c r="D70">
        <f>COUNTIF(C17:C21, "partially_correct")</f>
        <v>4</v>
      </c>
      <c r="E70">
        <f>COUNTIF(C17:C21, "incorrect")</f>
        <v>0</v>
      </c>
      <c r="G70">
        <v>4</v>
      </c>
      <c r="H70" s="1" t="s">
        <v>72</v>
      </c>
      <c r="I70">
        <f>COUNTIF(G17:G21, "correct")</f>
        <v>1</v>
      </c>
      <c r="J70">
        <f>COUNTIF(G17:G21, "partially_correct")</f>
        <v>4</v>
      </c>
      <c r="K70">
        <f>COUNTIF(G17:G21, "incorrect")</f>
        <v>0</v>
      </c>
      <c r="M70">
        <v>4</v>
      </c>
      <c r="N70" s="1" t="s">
        <v>72</v>
      </c>
      <c r="O70">
        <f>COUNTIF(K17:K21, "correct")</f>
        <v>0</v>
      </c>
      <c r="P70">
        <f>COUNTIF(K17:K21, "partially_correct")</f>
        <v>5</v>
      </c>
      <c r="Q70">
        <f>COUNTIF(K17:K21, "incorrect")</f>
        <v>0</v>
      </c>
      <c r="S70">
        <v>4</v>
      </c>
      <c r="T70" s="1" t="s">
        <v>72</v>
      </c>
      <c r="U70">
        <f t="shared" si="3"/>
        <v>0.66666666666666663</v>
      </c>
      <c r="V70">
        <f t="shared" si="4"/>
        <v>4.333333333333333</v>
      </c>
      <c r="W70">
        <f t="shared" si="5"/>
        <v>0</v>
      </c>
      <c r="X70" s="2">
        <f t="shared" si="6"/>
        <v>0.13333333333333333</v>
      </c>
      <c r="Y70" s="2">
        <f t="shared" si="2"/>
        <v>0.86666666666666659</v>
      </c>
      <c r="Z70" s="2">
        <f t="shared" si="2"/>
        <v>0</v>
      </c>
    </row>
    <row r="71" spans="1:26" x14ac:dyDescent="0.3">
      <c r="A71">
        <v>5</v>
      </c>
      <c r="B71" s="1" t="s">
        <v>73</v>
      </c>
      <c r="C71">
        <f>COUNTIF(C22:C26, "correct")</f>
        <v>2</v>
      </c>
      <c r="D71">
        <f>COUNTIF(C22:C26, "partially_correct")</f>
        <v>3</v>
      </c>
      <c r="E71">
        <f>COUNTIF(C22:C26, "incorrect")</f>
        <v>0</v>
      </c>
      <c r="G71">
        <v>5</v>
      </c>
      <c r="H71" s="1" t="s">
        <v>73</v>
      </c>
      <c r="I71">
        <f>COUNTIF(G22:G26, "correct")</f>
        <v>4</v>
      </c>
      <c r="J71">
        <f>COUNTIF(G22:G26, "partially_correct")</f>
        <v>1</v>
      </c>
      <c r="K71">
        <f>COUNTIF(G22:G26, "incorrect")</f>
        <v>0</v>
      </c>
      <c r="M71">
        <v>5</v>
      </c>
      <c r="N71" s="1" t="s">
        <v>73</v>
      </c>
      <c r="O71">
        <f>COUNTIF(K22:K26, "correct")</f>
        <v>3</v>
      </c>
      <c r="P71">
        <f>COUNTIF(K22:K26, "partially_correct")</f>
        <v>2</v>
      </c>
      <c r="Q71">
        <f>COUNTIF(K22:K26, "incorrect")</f>
        <v>0</v>
      </c>
      <c r="S71">
        <v>5</v>
      </c>
      <c r="T71" s="1" t="s">
        <v>73</v>
      </c>
      <c r="U71">
        <f t="shared" si="3"/>
        <v>3</v>
      </c>
      <c r="V71">
        <f t="shared" si="4"/>
        <v>2</v>
      </c>
      <c r="W71">
        <f t="shared" si="5"/>
        <v>0</v>
      </c>
      <c r="X71" s="2">
        <f t="shared" si="6"/>
        <v>0.6</v>
      </c>
      <c r="Y71" s="2">
        <f t="shared" si="2"/>
        <v>0.4</v>
      </c>
      <c r="Z71" s="2">
        <f t="shared" si="2"/>
        <v>0</v>
      </c>
    </row>
    <row r="72" spans="1:26" x14ac:dyDescent="0.3">
      <c r="A72">
        <v>6</v>
      </c>
      <c r="B72" s="1" t="s">
        <v>74</v>
      </c>
      <c r="C72">
        <f>COUNTIF(C27:C31, "correct")</f>
        <v>3</v>
      </c>
      <c r="D72">
        <f>COUNTIF(C27:C31, "partially_correct")</f>
        <v>0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3</v>
      </c>
      <c r="J72">
        <f>COUNTIF(G27:G31, "partially_correct")</f>
        <v>0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3</v>
      </c>
      <c r="P72">
        <f>COUNTIF(K27:K31, "partially_correct")</f>
        <v>0</v>
      </c>
      <c r="Q72">
        <f>COUNTIF(K27:K31, "incorrect")</f>
        <v>2</v>
      </c>
      <c r="S72">
        <v>6</v>
      </c>
      <c r="T72" s="1" t="s">
        <v>74</v>
      </c>
      <c r="U72">
        <f t="shared" si="3"/>
        <v>3</v>
      </c>
      <c r="V72">
        <f t="shared" si="4"/>
        <v>0</v>
      </c>
      <c r="W72">
        <f t="shared" si="5"/>
        <v>2</v>
      </c>
      <c r="X72" s="2">
        <f t="shared" si="6"/>
        <v>0.6</v>
      </c>
      <c r="Y72" s="2">
        <f t="shared" si="2"/>
        <v>0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1</v>
      </c>
      <c r="D73">
        <f>COUNTIF(C32:C36, "partially_correct")</f>
        <v>4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3</v>
      </c>
      <c r="J73">
        <f>COUNTIF(G32:G36, "partially_correct")</f>
        <v>2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3</v>
      </c>
      <c r="P73">
        <f>COUNTIF(K32:K36, "partially_correct")</f>
        <v>2</v>
      </c>
      <c r="Q73">
        <f>COUNTIF(K32:K36, "incorrect")</f>
        <v>0</v>
      </c>
      <c r="S73">
        <v>7</v>
      </c>
      <c r="T73" s="1" t="s">
        <v>75</v>
      </c>
      <c r="U73">
        <f t="shared" si="3"/>
        <v>2.3333333333333335</v>
      </c>
      <c r="V73">
        <f t="shared" si="4"/>
        <v>2.6666666666666665</v>
      </c>
      <c r="W73">
        <f t="shared" si="5"/>
        <v>0</v>
      </c>
      <c r="X73" s="2">
        <f t="shared" si="6"/>
        <v>0.46666666666666667</v>
      </c>
      <c r="Y73" s="2">
        <f t="shared" si="2"/>
        <v>0.53333333333333333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4</v>
      </c>
      <c r="D74">
        <f>COUNTIF(C37:C41, "partially_correct")</f>
        <v>1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4</v>
      </c>
      <c r="J74">
        <f>COUNTIF(G37:G41, "partially_correct")</f>
        <v>1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4</v>
      </c>
      <c r="P74">
        <f>COUNTIF(K37:K41, "partially_correct")</f>
        <v>1</v>
      </c>
      <c r="Q74">
        <f>COUNTIF(K37:K41, "incorrect")</f>
        <v>0</v>
      </c>
      <c r="S74">
        <v>8</v>
      </c>
      <c r="T74" s="1" t="s">
        <v>76</v>
      </c>
      <c r="U74">
        <f t="shared" si="3"/>
        <v>4</v>
      </c>
      <c r="V74">
        <f t="shared" si="4"/>
        <v>1</v>
      </c>
      <c r="W74">
        <f t="shared" si="5"/>
        <v>0</v>
      </c>
      <c r="X74" s="2">
        <f t="shared" si="6"/>
        <v>0.8</v>
      </c>
      <c r="Y74" s="2">
        <f t="shared" si="2"/>
        <v>0.2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0</v>
      </c>
      <c r="D75">
        <f>COUNTIF(C42:C46, "partially_correct")</f>
        <v>5</v>
      </c>
      <c r="E75">
        <f>COUNTIF(C42:C46, "incorrect")</f>
        <v>0</v>
      </c>
      <c r="G75">
        <v>9</v>
      </c>
      <c r="H75" s="1" t="s">
        <v>77</v>
      </c>
      <c r="I75">
        <f>COUNTIF(G42:G46, "correct")</f>
        <v>2</v>
      </c>
      <c r="J75">
        <f>COUNTIF(G42:G46, "partially_correct")</f>
        <v>2</v>
      </c>
      <c r="K75">
        <f>COUNTIF(G42:G46, "incorrect")</f>
        <v>1</v>
      </c>
      <c r="M75">
        <v>9</v>
      </c>
      <c r="N75" s="1" t="s">
        <v>77</v>
      </c>
      <c r="O75">
        <f>COUNTIF(K42:K46, "correct")</f>
        <v>2</v>
      </c>
      <c r="P75">
        <f>COUNTIF(K42:K46, "partially_correct")</f>
        <v>3</v>
      </c>
      <c r="Q75">
        <f>COUNTIF(K42:K46, "incorrect")</f>
        <v>0</v>
      </c>
      <c r="S75">
        <v>9</v>
      </c>
      <c r="T75" s="1" t="s">
        <v>77</v>
      </c>
      <c r="U75">
        <f t="shared" si="3"/>
        <v>1.3333333333333333</v>
      </c>
      <c r="V75">
        <f t="shared" si="4"/>
        <v>3.3333333333333335</v>
      </c>
      <c r="W75">
        <f t="shared" si="5"/>
        <v>0.33333333333333331</v>
      </c>
      <c r="X75" s="2">
        <f t="shared" si="6"/>
        <v>0.26666666666666666</v>
      </c>
      <c r="Y75" s="2">
        <f t="shared" si="2"/>
        <v>0.66666666666666674</v>
      </c>
      <c r="Z75" s="2">
        <f t="shared" si="2"/>
        <v>6.6666666666666666E-2</v>
      </c>
    </row>
    <row r="76" spans="1:26" x14ac:dyDescent="0.3">
      <c r="A76">
        <v>10</v>
      </c>
      <c r="B76" s="1" t="s">
        <v>78</v>
      </c>
      <c r="C76">
        <f>COUNTIF(C47:C51, "correct")</f>
        <v>2</v>
      </c>
      <c r="D76">
        <f>COUNTIF(C47:C51, "partially_correct")</f>
        <v>1</v>
      </c>
      <c r="E76">
        <f>COUNTIF(C47:C51, "incorrect")</f>
        <v>2</v>
      </c>
      <c r="G76">
        <v>10</v>
      </c>
      <c r="H76" s="1" t="s">
        <v>78</v>
      </c>
      <c r="I76">
        <f>COUNTIF(G47:G51, "correct")</f>
        <v>3</v>
      </c>
      <c r="J76">
        <f>COUNTIF(G47:G51, "partially_correct")</f>
        <v>1</v>
      </c>
      <c r="K76">
        <f>COUNTIF(G47:G51, "incorrect")</f>
        <v>1</v>
      </c>
      <c r="M76">
        <v>10</v>
      </c>
      <c r="N76" s="1" t="s">
        <v>78</v>
      </c>
      <c r="O76">
        <f>COUNTIF(K47:K51, "correct")</f>
        <v>2</v>
      </c>
      <c r="P76">
        <f>COUNTIF(K47:K51, "partially_correct")</f>
        <v>2</v>
      </c>
      <c r="Q76">
        <f>COUNTIF(K47:K51, "incorrect")</f>
        <v>1</v>
      </c>
      <c r="S76">
        <v>10</v>
      </c>
      <c r="T76" s="1" t="s">
        <v>78</v>
      </c>
      <c r="U76">
        <f t="shared" si="3"/>
        <v>2.3333333333333335</v>
      </c>
      <c r="V76">
        <f t="shared" si="4"/>
        <v>1.3333333333333333</v>
      </c>
      <c r="W76">
        <f t="shared" si="5"/>
        <v>1.3333333333333333</v>
      </c>
      <c r="X76" s="2">
        <f t="shared" si="6"/>
        <v>0.46666666666666667</v>
      </c>
      <c r="Y76" s="2">
        <f t="shared" si="2"/>
        <v>0.26666666666666666</v>
      </c>
      <c r="Z76" s="2">
        <f t="shared" si="2"/>
        <v>0.26666666666666666</v>
      </c>
    </row>
    <row r="77" spans="1:26" x14ac:dyDescent="0.3">
      <c r="A77">
        <v>11</v>
      </c>
      <c r="B77" s="1" t="s">
        <v>79</v>
      </c>
      <c r="C77">
        <f>COUNTIF(C52:C56, "correct")</f>
        <v>4</v>
      </c>
      <c r="D77">
        <f>COUNTIF(C52:C56, "partially_correct")</f>
        <v>1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3</v>
      </c>
      <c r="J77">
        <f>COUNTIF(G52:G56, "partially_correct")</f>
        <v>2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5</v>
      </c>
      <c r="P77">
        <f>COUNTIF(K52:K56, "partially_correct")</f>
        <v>0</v>
      </c>
      <c r="Q77">
        <f>COUNTIF(K52:K56, "incorrect")</f>
        <v>0</v>
      </c>
      <c r="S77">
        <v>11</v>
      </c>
      <c r="T77" s="1" t="s">
        <v>79</v>
      </c>
      <c r="U77">
        <f t="shared" si="3"/>
        <v>4</v>
      </c>
      <c r="V77">
        <f t="shared" si="4"/>
        <v>1</v>
      </c>
      <c r="W77">
        <f t="shared" si="5"/>
        <v>0</v>
      </c>
      <c r="X77" s="2">
        <f t="shared" si="6"/>
        <v>0.8</v>
      </c>
      <c r="Y77" s="2">
        <f t="shared" si="2"/>
        <v>0.2</v>
      </c>
      <c r="Z77" s="2">
        <f t="shared" si="2"/>
        <v>0</v>
      </c>
    </row>
    <row r="79" spans="1:26" x14ac:dyDescent="0.3">
      <c r="T79" t="s">
        <v>84</v>
      </c>
      <c r="U79">
        <f>SUM(U67:U77)/11</f>
        <v>3.0606060606060597</v>
      </c>
      <c r="V79">
        <f t="shared" ref="V79:Z79" si="7">SUM(V67:V77)/11</f>
        <v>1.5757575757575757</v>
      </c>
      <c r="W79">
        <f t="shared" si="7"/>
        <v>0.36363636363636365</v>
      </c>
      <c r="X79" s="2">
        <f t="shared" si="7"/>
        <v>0.61212121212121218</v>
      </c>
      <c r="Y79" s="2">
        <f t="shared" si="7"/>
        <v>0.31515151515151518</v>
      </c>
      <c r="Z79" s="2">
        <f t="shared" si="7"/>
        <v>7.2727272727272738E-2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2026-03-23T12:18:13Z</dcterms:modified>
</cp:coreProperties>
</file>