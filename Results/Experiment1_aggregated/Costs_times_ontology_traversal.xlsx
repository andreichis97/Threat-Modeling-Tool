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I45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6" i="1"/>
  <c r="I47" i="1"/>
  <c r="I48" i="1"/>
  <c r="I49" i="1"/>
  <c r="I50" i="1"/>
  <c r="I51" i="1"/>
  <c r="I52" i="1"/>
  <c r="I53" i="1"/>
  <c r="I54" i="1"/>
  <c r="I55" i="1"/>
  <c r="I56" i="1"/>
  <c r="J2" i="1"/>
  <c r="I2" i="1"/>
  <c r="P3" i="1" l="1"/>
  <c r="Q9" i="1"/>
  <c r="P10" i="1"/>
  <c r="Q4" i="1"/>
  <c r="P5" i="1"/>
  <c r="Q6" i="1"/>
  <c r="P12" i="1"/>
  <c r="P7" i="1"/>
  <c r="Q8" i="1"/>
  <c r="Q3" i="1"/>
  <c r="P4" i="1"/>
  <c r="Q10" i="1"/>
  <c r="Q5" i="1"/>
  <c r="Q11" i="1"/>
  <c r="P9" i="1"/>
  <c r="P11" i="1"/>
  <c r="Q12" i="1"/>
  <c r="P2" i="1"/>
  <c r="Q7" i="1"/>
  <c r="P6" i="1"/>
  <c r="Q2" i="1"/>
  <c r="P8" i="1"/>
  <c r="Q15" i="1" l="1"/>
  <c r="P15" i="1"/>
</calcChain>
</file>

<file path=xl/sharedStrings.xml><?xml version="1.0" encoding="utf-8"?>
<sst xmlns="http://schemas.openxmlformats.org/spreadsheetml/2006/main" count="82" uniqueCount="75">
  <si>
    <t>question</t>
  </si>
  <si>
    <t>time</t>
  </si>
  <si>
    <t>cost</t>
  </si>
  <si>
    <t>What is the risk level of "Carrier Identity Spoofing"?</t>
  </si>
  <si>
    <t>What is the protocol used by "Receipt Delivery"?</t>
  </si>
  <si>
    <t>What is the protocol used by "Customer Profile Lookup"?</t>
  </si>
  <si>
    <t>What is the cost of "Immutable Append-Only Log Storage"?</t>
  </si>
  <si>
    <t>What is the implementation status of "Return Eligibility Verification Engine"?</t>
  </si>
  <si>
    <t>Which data flows are inputs to "Screen for Fraud"?</t>
  </si>
  <si>
    <t>Which data store receives "Refund Execution Audit Entry"?</t>
  </si>
  <si>
    <t>Which is the following task after "Ship Order"?</t>
  </si>
  <si>
    <t>Which is the following task after "Display Return Policy"?</t>
  </si>
  <si>
    <t>Which are the possible mitigations for threat "Payment Data Tampering in Transit"?</t>
  </si>
  <si>
    <t>What threats are linked to "Generate Delivery Milestone"?</t>
  </si>
  <si>
    <t>What categories are the mitigations which can counter threat named "Sensitive Data Leakage in Receipts"?</t>
  </si>
  <si>
    <t>Which trust boundaries are crossed by the data flows that are input to "Execute Refund"?</t>
  </si>
  <si>
    <t>What trust zone does the data store that stores "Payment Record Storage" reside in?</t>
  </si>
  <si>
    <t>What mitigations are implemented to data store "Fraud Rules Repository"?</t>
  </si>
  <si>
    <t>What threats impact the data flows which are outputted by the process "Execute Payment Transaction"?</t>
  </si>
  <si>
    <t>What threats impact the data flows which cross the trust boundary named "Internal Order Management Zone (1)"?</t>
  </si>
  <si>
    <t>What mitigations are implemented for the processes residing in trust zone named "Internal Network Boundary (2)"?</t>
  </si>
  <si>
    <t>What mitigations secure the data flows stored by the data store "Customer Database"?</t>
  </si>
  <si>
    <t>What threats impact the external entity which sends the data flow named "Carrier Tracking Update"?</t>
  </si>
  <si>
    <t>What categories are the threats impacting the data flows which are outputs of the process "Publish Approved Review"?</t>
  </si>
  <si>
    <t>What categories are the mitigations which can counter the threats affecting data store "Audit Log"?</t>
  </si>
  <si>
    <t>What categories are the mitigations which can counter the threats affecting data store "Order and Shipment Database"?</t>
  </si>
  <si>
    <t>What threats impact the process which outputs the data flow which is stored by data store "Inventory Database"?</t>
  </si>
  <si>
    <t>What mitigations are used for the process which outputs the data flow that is taken as input by process "Assess Return Eligibility"?</t>
  </si>
  <si>
    <t>What are the external entities from the "Process Payment" BPMN Sub-Process?</t>
  </si>
  <si>
    <t>What are the data stores from the "Manage Customer Profile" BPMN Sub-Process?</t>
  </si>
  <si>
    <t>What threats affect the processes from the DFD decomposition of "Process Tracking Update &amp; Notify Customer" BPMN Sub-Process?</t>
  </si>
  <si>
    <t>What are the threats and risk levels of threats affecting processes from the DFD decomposition of "Submit and Moderate Review" BPMN Sub-Process?</t>
  </si>
  <si>
    <t>What are the trust zones from the DFD Decomposition of "Process Return &amp; Issue Refund" BPMN Sub-Process?</t>
  </si>
  <si>
    <t>What threats affect the "Screen for Fraud" process?</t>
  </si>
  <si>
    <t>What are the threats affecting the "Execute Payment Transaction" process?</t>
  </si>
  <si>
    <t>What are the threats affecting the "Session Store" data store?</t>
  </si>
  <si>
    <t>What are the threats affecting the "Content Moderation Service (ModerateAI)" external entity?</t>
  </si>
  <si>
    <t>What are the threats affecting the "Order and Shipment Database" data store?</t>
  </si>
  <si>
    <t>Which threats can "Immutable Append-Only Log Storage" mitigate?</t>
  </si>
  <si>
    <t>Which mitigations are defined for "Transaction Repudiation"?</t>
  </si>
  <si>
    <t>Which mitigations are defined for "Refund Amount Escalation"?</t>
  </si>
  <si>
    <t>Which threats does "Carrier API Key Authentication and IP Allowlisting" mitigate?</t>
  </si>
  <si>
    <t>Which mitigations are defined for "Refund Repudiation"?</t>
  </si>
  <si>
    <t>To what processes is the external entity "Customer" sending data flows across all cases?</t>
  </si>
  <si>
    <t>What data flows are being sent by external entity "Payment Gateway Provider (StripeConnect)" across all cases?</t>
  </si>
  <si>
    <t>To what threats is the data store "Customer Database" exposed across all cases?</t>
  </si>
  <si>
    <t>What mitigations are defined for the data flows stored by data store "Audit Log" across all cases?</t>
  </si>
  <si>
    <t>What threats are being mitigated by mitigation "Comprehensive Transaction Logging" across all cases?</t>
  </si>
  <si>
    <t>Trace the path from process "Screen for Fraud" to data store "Payment Records".</t>
  </si>
  <si>
    <t>Trace the path from external entity "Payment Gateway Provider (StripeConnect)" to external entity "Customer".</t>
  </si>
  <si>
    <t>Trace the path from external entity "Customer" to external entity "Email Delivery Service (SendGrid)".</t>
  </si>
  <si>
    <t>Trace the path from process "Receive and Validate Review" to data store "Product Reviews Database".</t>
  </si>
  <si>
    <t>Trace the path from process "Validate Return Request" to external entity "Payment Gateway Provider (StripeConnect)".</t>
  </si>
  <si>
    <t>What is the risk level of "Carrier Identity Spoofing", and what trust boundary does "Ingest &amp; Validate Carrier Update" reside in?</t>
  </si>
  <si>
    <t>Which mitigations are linked to "Refund Repudiation", and what protocol is used by "Refund Authorization Request"?</t>
  </si>
  <si>
    <t>What threats affect "Screen for Fraud" and what mitigations are applied to "Fraud Rules Repository"?</t>
  </si>
  <si>
    <t>What trust boundaries are crossed by "Approved Payment Request" and what threats affect "Generate Payment Receipt"?</t>
  </si>
  <si>
    <t>What is the implementation status of "Return Eligibility Verification Engine", and what data store receives "Return Processing Audit Entry"?</t>
  </si>
  <si>
    <t>ID</t>
  </si>
  <si>
    <t>Avg time</t>
  </si>
  <si>
    <t>Avg cost</t>
  </si>
  <si>
    <t>Category</t>
  </si>
  <si>
    <t>Direct relation queries</t>
  </si>
  <si>
    <t>1 hop relationship traversal queries</t>
  </si>
  <si>
    <t>2 hop relationship traversal queries</t>
  </si>
  <si>
    <t>3 hop relationship traversal queries</t>
  </si>
  <si>
    <t>4 hop relationship traversal queries</t>
  </si>
  <si>
    <t>BPMN to DFD decomposition traceability queries</t>
  </si>
  <si>
    <t>Threat-to-Element Mapping</t>
  </si>
  <si>
    <t>Mitigation-to-Threat Mapping</t>
  </si>
  <si>
    <t>Cross-case reuse and same-entity traceability queries</t>
  </si>
  <si>
    <t>Multi-hop end-to-end path queries</t>
  </si>
  <si>
    <t>Multiple intent questions</t>
  </si>
  <si>
    <t>Avg time total</t>
  </si>
  <si>
    <t>Avg cost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</si>
</sst>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applyFont="1"/>
    <xf numFmtId="2" fontId="0" fillId="2" borderId="0" xfId="0" applyNumberFormat="1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6"/>
  <sheetViews>
    <sheetView tabSelected="1" workbookViewId="0">
      <selection activeCell="P15" sqref="P15:Q15"/>
    </sheetView>
  </sheetViews>
  <sheetFormatPr defaultRowHeight="14.4" x14ac:dyDescent="0.3"/>
  <sheetData>
    <row r="1" spans="1:17" x14ac:dyDescent="0.3">
      <c r="A1" t="s">
        <v>58</v>
      </c>
      <c r="B1" t="s">
        <v>0</v>
      </c>
      <c r="C1" t="s">
        <v>1</v>
      </c>
      <c r="D1" t="s">
        <v>2</v>
      </c>
      <c r="E1" t="s">
        <v>1</v>
      </c>
      <c r="F1" t="s">
        <v>2</v>
      </c>
      <c r="G1" t="s">
        <v>1</v>
      </c>
      <c r="H1" t="s">
        <v>2</v>
      </c>
      <c r="I1" s="1" t="s">
        <v>59</v>
      </c>
      <c r="J1" s="1" t="s">
        <v>60</v>
      </c>
      <c r="N1" t="s">
        <v>58</v>
      </c>
      <c r="O1" t="s">
        <v>61</v>
      </c>
      <c r="P1" t="s">
        <v>59</v>
      </c>
      <c r="Q1" t="s">
        <v>60</v>
      </c>
    </row>
    <row r="2" spans="1:17" x14ac:dyDescent="0.3">
      <c r="A2">
        <v>1</v>
      </c>
      <c r="B2" t="s">
        <v>3</v>
      </c>
      <c r="C2">
        <v>3.84698462486267</v>
      </c>
      <c r="D2">
        <v>1.0782E-2</v>
      </c>
      <c r="E2">
        <v>3.42485451698303</v>
      </c>
      <c r="F2">
        <v>1.0766E-2</v>
      </c>
      <c r="G2">
        <v>3.30004429817199</v>
      </c>
      <c r="H2">
        <v>1.0766E-2</v>
      </c>
      <c r="I2" s="3">
        <f>(C2+E2+G2)/3</f>
        <v>3.5239611466725633</v>
      </c>
      <c r="J2" s="3">
        <f>(D2+F2+H2)/3</f>
        <v>1.0771333333333332E-2</v>
      </c>
      <c r="N2">
        <v>1</v>
      </c>
      <c r="O2" s="2" t="s">
        <v>62</v>
      </c>
      <c r="P2" s="4">
        <f>(I2+I3+I4+I5+I6)/5</f>
        <v>3.1273241996765098</v>
      </c>
      <c r="Q2" s="4">
        <f>(J2+J3+J4+J5+J6)/5</f>
        <v>1.0758666666666646E-2</v>
      </c>
    </row>
    <row r="3" spans="1:17" x14ac:dyDescent="0.3">
      <c r="A3">
        <v>2</v>
      </c>
      <c r="B3" t="s">
        <v>4</v>
      </c>
      <c r="C3">
        <v>2.6891541481018</v>
      </c>
      <c r="D3">
        <v>1.0716E-2</v>
      </c>
      <c r="E3">
        <v>3.7274746894836399</v>
      </c>
      <c r="F3">
        <v>1.0716E-2</v>
      </c>
      <c r="G3">
        <v>2.2956275939941402</v>
      </c>
      <c r="H3">
        <v>1.0716E-2</v>
      </c>
      <c r="I3" s="3">
        <f t="shared" ref="I3:I56" si="0">(C3+E3+G3)/3</f>
        <v>2.9040854771931937</v>
      </c>
      <c r="J3" s="3">
        <f t="shared" ref="J3:J56" si="1">(D3+F3+H3)/3</f>
        <v>1.0715999999999998E-2</v>
      </c>
      <c r="N3">
        <v>2</v>
      </c>
      <c r="O3" s="2" t="s">
        <v>63</v>
      </c>
      <c r="P3" s="4">
        <f>(I7+I8+I9+I10+I11)/5</f>
        <v>4.2710603872934918</v>
      </c>
      <c r="Q3" s="4">
        <f>(J7+J8+J9+J10+J11)/5</f>
        <v>1.2422133333333326E-2</v>
      </c>
    </row>
    <row r="4" spans="1:17" x14ac:dyDescent="0.3">
      <c r="A4">
        <v>3</v>
      </c>
      <c r="B4" t="s">
        <v>5</v>
      </c>
      <c r="C4">
        <v>2.56541848182678</v>
      </c>
      <c r="D4">
        <v>1.085E-2</v>
      </c>
      <c r="E4">
        <v>2.6512579917907702</v>
      </c>
      <c r="F4">
        <v>1.07619999999999E-2</v>
      </c>
      <c r="G4">
        <v>3.2701883316039999</v>
      </c>
      <c r="H4">
        <v>1.0746E-2</v>
      </c>
      <c r="I4" s="3">
        <f t="shared" si="0"/>
        <v>2.8289549350738503</v>
      </c>
      <c r="J4" s="3">
        <f t="shared" si="1"/>
        <v>1.0785999999999967E-2</v>
      </c>
      <c r="N4">
        <v>3</v>
      </c>
      <c r="O4" s="2" t="s">
        <v>64</v>
      </c>
      <c r="P4" s="4">
        <f>(I12+I13+I14+I15+I16)/5</f>
        <v>5.7792593479156444</v>
      </c>
      <c r="Q4" s="4">
        <f>(J12+J13+J14+J15+J16)/5</f>
        <v>1.5413333333333326E-2</v>
      </c>
    </row>
    <row r="5" spans="1:17" x14ac:dyDescent="0.3">
      <c r="A5">
        <v>4</v>
      </c>
      <c r="B5" t="s">
        <v>6</v>
      </c>
      <c r="C5">
        <v>3.0712983608245801</v>
      </c>
      <c r="D5">
        <v>1.0874E-2</v>
      </c>
      <c r="E5">
        <v>3.1609606742858798</v>
      </c>
      <c r="F5">
        <v>1.0737999999999999E-2</v>
      </c>
      <c r="G5">
        <v>3.0942740440368599</v>
      </c>
      <c r="H5">
        <v>1.0802000000000001E-2</v>
      </c>
      <c r="I5" s="3">
        <f t="shared" si="0"/>
        <v>3.1088443597157731</v>
      </c>
      <c r="J5" s="3">
        <f t="shared" si="1"/>
        <v>1.0804666666666666E-2</v>
      </c>
      <c r="N5">
        <v>4</v>
      </c>
      <c r="O5" s="2" t="s">
        <v>65</v>
      </c>
      <c r="P5" s="4">
        <f>(I17+I18+I19+I20+I21)/5</f>
        <v>7.4431397596994913</v>
      </c>
      <c r="Q5" s="4">
        <f>(J17+J18+J19+J20+J21)/5</f>
        <v>1.7724666666666666E-2</v>
      </c>
    </row>
    <row r="6" spans="1:17" x14ac:dyDescent="0.3">
      <c r="A6">
        <v>5</v>
      </c>
      <c r="B6" t="s">
        <v>7</v>
      </c>
      <c r="C6">
        <v>3.0861740112304599</v>
      </c>
      <c r="D6">
        <v>1.0725999999999999E-2</v>
      </c>
      <c r="E6">
        <v>2.6904697418212802</v>
      </c>
      <c r="F6">
        <v>1.07099999999999E-2</v>
      </c>
      <c r="G6">
        <v>4.0356814861297599</v>
      </c>
      <c r="H6">
        <v>1.07099999999999E-2</v>
      </c>
      <c r="I6" s="3">
        <f t="shared" si="0"/>
        <v>3.2707750797271671</v>
      </c>
      <c r="J6" s="3">
        <f t="shared" si="1"/>
        <v>1.0715333333333266E-2</v>
      </c>
      <c r="N6">
        <v>5</v>
      </c>
      <c r="O6" s="2" t="s">
        <v>66</v>
      </c>
      <c r="P6" s="4">
        <f>(I22+I23+I24+I25+I26)/5</f>
        <v>8.3604610284169443</v>
      </c>
      <c r="Q6" s="4">
        <f>(J22+J23+J24+J25+J26)/5</f>
        <v>1.9235599999999999E-2</v>
      </c>
    </row>
    <row r="7" spans="1:17" x14ac:dyDescent="0.3">
      <c r="A7">
        <v>6</v>
      </c>
      <c r="B7" t="s">
        <v>8</v>
      </c>
      <c r="C7">
        <v>3.8661239147186199</v>
      </c>
      <c r="D7">
        <v>1.3610000000000001E-2</v>
      </c>
      <c r="E7">
        <v>5.8137345314025799</v>
      </c>
      <c r="F7">
        <v>1.357E-2</v>
      </c>
      <c r="G7">
        <v>3.91952180862426</v>
      </c>
      <c r="H7">
        <v>1.3538E-2</v>
      </c>
      <c r="I7" s="3">
        <f t="shared" si="0"/>
        <v>4.5331267515818201</v>
      </c>
      <c r="J7" s="3">
        <f t="shared" si="1"/>
        <v>1.3572666666666669E-2</v>
      </c>
      <c r="N7">
        <v>6</v>
      </c>
      <c r="O7" s="2" t="s">
        <v>67</v>
      </c>
      <c r="P7" s="4">
        <f>(I27+I28+I29+I30+I31)/5</f>
        <v>4.6692374070485378</v>
      </c>
      <c r="Q7" s="4">
        <f>(J27+J28+J29+J30+J31)/5</f>
        <v>1.3283866666666647E-2</v>
      </c>
    </row>
    <row r="8" spans="1:17" x14ac:dyDescent="0.3">
      <c r="A8">
        <v>7</v>
      </c>
      <c r="B8" t="s">
        <v>9</v>
      </c>
      <c r="C8">
        <v>4.2233743667602504</v>
      </c>
      <c r="D8">
        <v>1.4282E-2</v>
      </c>
      <c r="E8">
        <v>5.8420245647430402</v>
      </c>
      <c r="F8">
        <v>1.4097999999999999E-2</v>
      </c>
      <c r="G8">
        <v>3.9359719753265301</v>
      </c>
      <c r="H8">
        <v>1.409E-2</v>
      </c>
      <c r="I8" s="3">
        <f t="shared" si="0"/>
        <v>4.6671236356099399</v>
      </c>
      <c r="J8" s="3">
        <f t="shared" si="1"/>
        <v>1.4156666666666666E-2</v>
      </c>
      <c r="N8">
        <v>7</v>
      </c>
      <c r="O8" s="2" t="s">
        <v>68</v>
      </c>
      <c r="P8" s="4">
        <f>(I32+I33+I34+I35+I36)/5</f>
        <v>4.8606142679850217</v>
      </c>
      <c r="Q8" s="4">
        <f>(J32+J33+J34+J35+J36)/5</f>
        <v>1.3868266666666639E-2</v>
      </c>
    </row>
    <row r="9" spans="1:17" x14ac:dyDescent="0.3">
      <c r="A9">
        <v>8</v>
      </c>
      <c r="B9" t="s">
        <v>10</v>
      </c>
      <c r="C9">
        <v>3.0773401260375901</v>
      </c>
      <c r="D9">
        <v>1.0664E-2</v>
      </c>
      <c r="E9">
        <v>2.6213605403900102</v>
      </c>
      <c r="F9">
        <v>1.04E-2</v>
      </c>
      <c r="G9">
        <v>2.8227877616882302</v>
      </c>
      <c r="H9">
        <v>1.056E-2</v>
      </c>
      <c r="I9" s="3">
        <f t="shared" si="0"/>
        <v>2.8404961427052768</v>
      </c>
      <c r="J9" s="3">
        <f t="shared" si="1"/>
        <v>1.0541333333333333E-2</v>
      </c>
      <c r="N9">
        <v>8</v>
      </c>
      <c r="O9" s="2" t="s">
        <v>69</v>
      </c>
      <c r="P9" s="4">
        <f>(I37+I38+I39+I40+I41)/5</f>
        <v>4.6508648713429706</v>
      </c>
      <c r="Q9" s="4">
        <f>(J37+J38+J39+J40+J41)/5</f>
        <v>1.3648133333333317E-2</v>
      </c>
    </row>
    <row r="10" spans="1:17" x14ac:dyDescent="0.3">
      <c r="A10">
        <v>9</v>
      </c>
      <c r="B10" t="s">
        <v>11</v>
      </c>
      <c r="C10">
        <v>3.1814377307891801</v>
      </c>
      <c r="D10">
        <v>1.0626E-2</v>
      </c>
      <c r="E10">
        <v>3.0031545162200901</v>
      </c>
      <c r="F10">
        <v>1.0593999999999999E-2</v>
      </c>
      <c r="G10">
        <v>5.21101522445678</v>
      </c>
      <c r="H10">
        <v>1.0466E-2</v>
      </c>
      <c r="I10" s="3">
        <f t="shared" si="0"/>
        <v>3.7985358238220166</v>
      </c>
      <c r="J10" s="3">
        <f t="shared" si="1"/>
        <v>1.0562E-2</v>
      </c>
      <c r="N10">
        <v>9</v>
      </c>
      <c r="O10" s="2" t="s">
        <v>70</v>
      </c>
      <c r="P10" s="4">
        <f>(I42+I43+I44+I45+I46)/5</f>
        <v>5.8437576929728143</v>
      </c>
      <c r="Q10" s="4">
        <f>(J42+J43+J44+J45+J46)/5</f>
        <v>1.5753866666666661E-2</v>
      </c>
    </row>
    <row r="11" spans="1:17" x14ac:dyDescent="0.3">
      <c r="A11">
        <v>10</v>
      </c>
      <c r="B11" t="s">
        <v>12</v>
      </c>
      <c r="C11">
        <v>5.2527446746826101</v>
      </c>
      <c r="D11">
        <v>1.32459999999999E-2</v>
      </c>
      <c r="E11">
        <v>6.2989506721496502</v>
      </c>
      <c r="F11">
        <v>1.3294E-2</v>
      </c>
      <c r="G11">
        <v>4.9963634014129603</v>
      </c>
      <c r="H11">
        <v>1.3294E-2</v>
      </c>
      <c r="I11" s="3">
        <f t="shared" si="0"/>
        <v>5.5160195827484069</v>
      </c>
      <c r="J11" s="3">
        <f t="shared" si="1"/>
        <v>1.3277999999999965E-2</v>
      </c>
      <c r="N11">
        <v>10</v>
      </c>
      <c r="O11" s="2" t="s">
        <v>71</v>
      </c>
      <c r="P11" s="4">
        <f>(I47+I48+I49+I50+I51)/5</f>
        <v>9.3013341903686335</v>
      </c>
      <c r="Q11" s="4">
        <f>(J47+J48+J49+J50+J51)/5</f>
        <v>2.5003333333333311E-2</v>
      </c>
    </row>
    <row r="12" spans="1:17" x14ac:dyDescent="0.3">
      <c r="A12">
        <v>11</v>
      </c>
      <c r="B12" t="s">
        <v>13</v>
      </c>
      <c r="C12">
        <v>4.7508952617645201</v>
      </c>
      <c r="D12">
        <v>1.372E-2</v>
      </c>
      <c r="E12">
        <v>5.9486196041107098</v>
      </c>
      <c r="F12">
        <v>1.3679999999999999E-2</v>
      </c>
      <c r="G12">
        <v>4.1391847133636404</v>
      </c>
      <c r="H12">
        <v>1.3743999999999999E-2</v>
      </c>
      <c r="I12" s="3">
        <f t="shared" si="0"/>
        <v>4.9462331930796237</v>
      </c>
      <c r="J12" s="3">
        <f t="shared" si="1"/>
        <v>1.3714666666666667E-2</v>
      </c>
      <c r="N12">
        <v>11</v>
      </c>
      <c r="O12" s="2" t="s">
        <v>72</v>
      </c>
      <c r="P12" s="4">
        <f>(I52+I53+I54+I55+I56)/5</f>
        <v>7.4366760253906161</v>
      </c>
      <c r="Q12" s="4">
        <f>(J52+J53+J54+J55+J56)/5</f>
        <v>2.3019466666666665E-2</v>
      </c>
    </row>
    <row r="13" spans="1:17" x14ac:dyDescent="0.3">
      <c r="A13">
        <v>12</v>
      </c>
      <c r="B13" t="s">
        <v>14</v>
      </c>
      <c r="C13">
        <v>5.6748619079589799</v>
      </c>
      <c r="D13">
        <v>1.5810000000000001E-2</v>
      </c>
      <c r="E13">
        <v>6.19950103759765</v>
      </c>
      <c r="F13">
        <v>1.5554E-2</v>
      </c>
      <c r="G13">
        <v>5.4861114025115896</v>
      </c>
      <c r="H13">
        <v>1.5938000000000001E-2</v>
      </c>
      <c r="I13" s="3">
        <f t="shared" si="0"/>
        <v>5.7868247826894068</v>
      </c>
      <c r="J13" s="3">
        <f t="shared" si="1"/>
        <v>1.5767333333333335E-2</v>
      </c>
    </row>
    <row r="14" spans="1:17" x14ac:dyDescent="0.3">
      <c r="A14">
        <v>13</v>
      </c>
      <c r="B14" t="s">
        <v>15</v>
      </c>
      <c r="C14">
        <v>7.3219330310821498</v>
      </c>
      <c r="D14">
        <v>1.711E-2</v>
      </c>
      <c r="E14">
        <v>5.2003753185272199</v>
      </c>
      <c r="F14">
        <v>1.7166000000000001E-2</v>
      </c>
      <c r="G14">
        <v>8.11706447601318</v>
      </c>
      <c r="H14">
        <v>1.7101999999999999E-2</v>
      </c>
      <c r="I14" s="3">
        <f t="shared" si="0"/>
        <v>6.8797909418741838</v>
      </c>
      <c r="J14" s="3">
        <f t="shared" si="1"/>
        <v>1.7125999999999999E-2</v>
      </c>
      <c r="P14" t="s">
        <v>73</v>
      </c>
      <c r="Q14" t="s">
        <v>74</v>
      </c>
    </row>
    <row r="15" spans="1:17" x14ac:dyDescent="0.3">
      <c r="A15">
        <v>14</v>
      </c>
      <c r="B15" t="s">
        <v>16</v>
      </c>
      <c r="C15">
        <v>5.6935009956359801</v>
      </c>
      <c r="D15">
        <v>1.6875999999999999E-2</v>
      </c>
      <c r="E15">
        <v>8.18358922004699</v>
      </c>
      <c r="F15">
        <v>1.6844000000000001E-2</v>
      </c>
      <c r="G15">
        <v>5.6471917629241899</v>
      </c>
      <c r="H15">
        <v>1.6740000000000001E-2</v>
      </c>
      <c r="I15" s="3">
        <f t="shared" si="0"/>
        <v>6.5080939928690533</v>
      </c>
      <c r="J15" s="3">
        <f t="shared" si="1"/>
        <v>1.6820000000000002E-2</v>
      </c>
      <c r="P15" s="4">
        <f>SUM(P2:P12)/11</f>
        <v>5.9767026525555158</v>
      </c>
      <c r="Q15" s="4">
        <f>SUM(Q2:Q12)/11</f>
        <v>1.6375575757575745E-2</v>
      </c>
    </row>
    <row r="16" spans="1:17" x14ac:dyDescent="0.3">
      <c r="A16">
        <v>15</v>
      </c>
      <c r="B16" t="s">
        <v>17</v>
      </c>
      <c r="C16">
        <v>5.2271702289581299</v>
      </c>
      <c r="D16">
        <v>1.36119999999999E-2</v>
      </c>
      <c r="E16">
        <v>4.2483808994293204</v>
      </c>
      <c r="F16">
        <v>1.3708E-2</v>
      </c>
      <c r="G16">
        <v>4.8505103588104204</v>
      </c>
      <c r="H16">
        <v>1.3596E-2</v>
      </c>
      <c r="I16" s="3">
        <f t="shared" si="0"/>
        <v>4.7753538290659572</v>
      </c>
      <c r="J16" s="3">
        <f t="shared" si="1"/>
        <v>1.3638666666666632E-2</v>
      </c>
    </row>
    <row r="17" spans="1:10" x14ac:dyDescent="0.3">
      <c r="A17">
        <v>16</v>
      </c>
      <c r="B17" t="s">
        <v>18</v>
      </c>
      <c r="C17">
        <v>5.61708664894104</v>
      </c>
      <c r="D17">
        <v>1.6922E-2</v>
      </c>
      <c r="E17">
        <v>6.4976222515106201</v>
      </c>
      <c r="F17">
        <v>1.7073999999999999E-2</v>
      </c>
      <c r="G17">
        <v>6.9604077339172301</v>
      </c>
      <c r="H17">
        <v>1.7049999999999999E-2</v>
      </c>
      <c r="I17" s="3">
        <f t="shared" si="0"/>
        <v>6.3583722114562962</v>
      </c>
      <c r="J17" s="3">
        <f t="shared" si="1"/>
        <v>1.701533333333333E-2</v>
      </c>
    </row>
    <row r="18" spans="1:10" x14ac:dyDescent="0.3">
      <c r="A18">
        <v>17</v>
      </c>
      <c r="B18" t="s">
        <v>19</v>
      </c>
      <c r="C18">
        <v>8.5893406867980904</v>
      </c>
      <c r="D18">
        <v>1.7876E-2</v>
      </c>
      <c r="E18">
        <v>7.2165534496307302</v>
      </c>
      <c r="F18">
        <v>1.7836000000000001E-2</v>
      </c>
      <c r="G18">
        <v>5.9307072162628103</v>
      </c>
      <c r="H18">
        <v>1.7668E-2</v>
      </c>
      <c r="I18" s="3">
        <f t="shared" si="0"/>
        <v>7.2455337842305427</v>
      </c>
      <c r="J18" s="3">
        <f t="shared" si="1"/>
        <v>1.7793333333333331E-2</v>
      </c>
    </row>
    <row r="19" spans="1:10" x14ac:dyDescent="0.3">
      <c r="A19">
        <v>18</v>
      </c>
      <c r="B19" t="s">
        <v>20</v>
      </c>
      <c r="C19">
        <v>11.6730515956878</v>
      </c>
      <c r="D19">
        <v>1.9463999999999999E-2</v>
      </c>
      <c r="E19">
        <v>6.1332671642303396</v>
      </c>
      <c r="F19">
        <v>1.8832000000000002E-2</v>
      </c>
      <c r="G19">
        <v>8.5015699863433802</v>
      </c>
      <c r="H19">
        <v>1.8832000000000002E-2</v>
      </c>
      <c r="I19" s="3">
        <f t="shared" si="0"/>
        <v>8.7692962487538413</v>
      </c>
      <c r="J19" s="3">
        <f t="shared" si="1"/>
        <v>1.9042666666666666E-2</v>
      </c>
    </row>
    <row r="20" spans="1:10" x14ac:dyDescent="0.3">
      <c r="A20">
        <v>19</v>
      </c>
      <c r="B20" t="s">
        <v>21</v>
      </c>
      <c r="C20">
        <v>5.8940799236297599</v>
      </c>
      <c r="D20">
        <v>1.7455999999999999E-2</v>
      </c>
      <c r="E20">
        <v>8.1697473526000906</v>
      </c>
      <c r="F20">
        <v>1.7488E-2</v>
      </c>
      <c r="G20">
        <v>7.3050172328948904</v>
      </c>
      <c r="H20">
        <v>1.7432E-2</v>
      </c>
      <c r="I20" s="3">
        <f t="shared" si="0"/>
        <v>7.1229481697082475</v>
      </c>
      <c r="J20" s="3">
        <f t="shared" si="1"/>
        <v>1.7458666666666667E-2</v>
      </c>
    </row>
    <row r="21" spans="1:10" x14ac:dyDescent="0.3">
      <c r="A21">
        <v>20</v>
      </c>
      <c r="B21" t="s">
        <v>22</v>
      </c>
      <c r="C21">
        <v>6.8038570880889804</v>
      </c>
      <c r="D21">
        <v>1.7388000000000001E-2</v>
      </c>
      <c r="E21">
        <v>10.132741212844801</v>
      </c>
      <c r="F21">
        <v>1.7267999999999999E-2</v>
      </c>
      <c r="G21">
        <v>6.2220468521118102</v>
      </c>
      <c r="H21">
        <v>1.7284000000000001E-2</v>
      </c>
      <c r="I21" s="3">
        <f t="shared" si="0"/>
        <v>7.7195483843485304</v>
      </c>
      <c r="J21" s="3">
        <f t="shared" si="1"/>
        <v>1.7313333333333333E-2</v>
      </c>
    </row>
    <row r="22" spans="1:10" x14ac:dyDescent="0.3">
      <c r="A22">
        <v>21</v>
      </c>
      <c r="B22" t="s">
        <v>23</v>
      </c>
      <c r="C22">
        <v>8.7424902915954501</v>
      </c>
      <c r="D22">
        <v>1.9429999999999999E-2</v>
      </c>
      <c r="E22">
        <v>9.3769223690032906</v>
      </c>
      <c r="F22">
        <v>1.9550000000000001E-2</v>
      </c>
      <c r="G22">
        <v>6.8544397354125897</v>
      </c>
      <c r="H22">
        <v>1.9605999999999998E-2</v>
      </c>
      <c r="I22" s="3">
        <f t="shared" si="0"/>
        <v>8.324617465337111</v>
      </c>
      <c r="J22" s="3">
        <f t="shared" si="1"/>
        <v>1.9528666666666666E-2</v>
      </c>
    </row>
    <row r="23" spans="1:10" x14ac:dyDescent="0.3">
      <c r="A23">
        <v>22</v>
      </c>
      <c r="B23" t="s">
        <v>24</v>
      </c>
      <c r="C23">
        <v>7.7233827114105198</v>
      </c>
      <c r="D23">
        <v>2.0726000000000001E-2</v>
      </c>
      <c r="E23">
        <v>7.2063724994659397</v>
      </c>
      <c r="F23">
        <v>2.0518000000000002E-2</v>
      </c>
      <c r="G23">
        <v>9.1812272071838308</v>
      </c>
      <c r="H23">
        <v>2.051E-2</v>
      </c>
      <c r="I23" s="3">
        <f t="shared" si="0"/>
        <v>8.0369941393534301</v>
      </c>
      <c r="J23" s="3">
        <f t="shared" si="1"/>
        <v>2.0584666666666668E-2</v>
      </c>
    </row>
    <row r="24" spans="1:10" x14ac:dyDescent="0.3">
      <c r="A24">
        <v>23</v>
      </c>
      <c r="B24" t="s">
        <v>25</v>
      </c>
      <c r="C24">
        <v>8.5615558624267507</v>
      </c>
      <c r="D24">
        <v>1.9136E-2</v>
      </c>
      <c r="E24">
        <v>11.0775825977325</v>
      </c>
      <c r="F24">
        <v>1.9175999999999999E-2</v>
      </c>
      <c r="G24">
        <v>7.5173618793487504</v>
      </c>
      <c r="H24">
        <v>1.8824E-2</v>
      </c>
      <c r="I24" s="3">
        <f t="shared" si="0"/>
        <v>9.0521667798360017</v>
      </c>
      <c r="J24" s="3">
        <f t="shared" si="1"/>
        <v>1.9045333333333334E-2</v>
      </c>
    </row>
    <row r="25" spans="1:10" x14ac:dyDescent="0.3">
      <c r="A25">
        <v>24</v>
      </c>
      <c r="B25" t="s">
        <v>26</v>
      </c>
      <c r="C25">
        <v>7.3679738044738698</v>
      </c>
      <c r="D25">
        <v>1.9622000000000001E-2</v>
      </c>
      <c r="E25">
        <v>9.5273354053497297</v>
      </c>
      <c r="F25">
        <v>2.0198000000000001E-2</v>
      </c>
      <c r="G25">
        <v>7.3009526729583696</v>
      </c>
      <c r="H25">
        <v>2.0126000000000002E-2</v>
      </c>
      <c r="I25" s="3">
        <f t="shared" si="0"/>
        <v>8.0654206275939906</v>
      </c>
      <c r="J25" s="3">
        <f t="shared" si="1"/>
        <v>1.9982E-2</v>
      </c>
    </row>
    <row r="26" spans="1:10" x14ac:dyDescent="0.3">
      <c r="A26">
        <v>25</v>
      </c>
      <c r="B26" t="s">
        <v>27</v>
      </c>
      <c r="C26">
        <v>8.9250018596649099</v>
      </c>
      <c r="D26">
        <v>1.7416000000000001E-2</v>
      </c>
      <c r="E26">
        <v>9.7300662994384695</v>
      </c>
      <c r="F26">
        <v>1.6855999999999999E-2</v>
      </c>
      <c r="G26">
        <v>6.3142502307891801</v>
      </c>
      <c r="H26">
        <v>1.6840000000000001E-2</v>
      </c>
      <c r="I26" s="3">
        <f t="shared" si="0"/>
        <v>8.3231061299641862</v>
      </c>
      <c r="J26" s="3">
        <f t="shared" si="1"/>
        <v>1.7037333333333331E-2</v>
      </c>
    </row>
    <row r="27" spans="1:10" x14ac:dyDescent="0.3">
      <c r="A27">
        <v>26</v>
      </c>
      <c r="B27" t="s">
        <v>28</v>
      </c>
      <c r="C27">
        <v>4.8659100532531703</v>
      </c>
      <c r="D27">
        <v>1.308E-2</v>
      </c>
      <c r="E27">
        <v>4.5245614051818803</v>
      </c>
      <c r="F27">
        <v>1.3256E-2</v>
      </c>
      <c r="G27">
        <v>4.4189867973327601</v>
      </c>
      <c r="H27">
        <v>1.3431999999999999E-2</v>
      </c>
      <c r="I27" s="3">
        <f t="shared" si="0"/>
        <v>4.6031527519226039</v>
      </c>
      <c r="J27" s="3">
        <f t="shared" si="1"/>
        <v>1.3255999999999999E-2</v>
      </c>
    </row>
    <row r="28" spans="1:10" x14ac:dyDescent="0.3">
      <c r="A28">
        <v>27</v>
      </c>
      <c r="B28" t="s">
        <v>29</v>
      </c>
      <c r="C28">
        <v>7.3635277748107901</v>
      </c>
      <c r="D28">
        <v>1.3188E-2</v>
      </c>
      <c r="E28">
        <v>4.9091680049896196</v>
      </c>
      <c r="F28">
        <v>1.3188E-2</v>
      </c>
      <c r="G28">
        <v>3.7785494327545099</v>
      </c>
      <c r="H28">
        <v>1.3140000000000001E-2</v>
      </c>
      <c r="I28" s="3">
        <f t="shared" si="0"/>
        <v>5.35041507085164</v>
      </c>
      <c r="J28" s="3">
        <f t="shared" si="1"/>
        <v>1.3172000000000001E-2</v>
      </c>
    </row>
    <row r="29" spans="1:10" x14ac:dyDescent="0.3">
      <c r="A29">
        <v>28</v>
      </c>
      <c r="B29" t="s">
        <v>30</v>
      </c>
      <c r="C29">
        <v>4.1241333484649596</v>
      </c>
      <c r="D29">
        <v>1.3172E-2</v>
      </c>
      <c r="E29">
        <v>5.0838704109191797</v>
      </c>
      <c r="F29">
        <v>1.3348E-2</v>
      </c>
      <c r="G29">
        <v>4.0117375850677401</v>
      </c>
      <c r="H29">
        <v>1.3436E-2</v>
      </c>
      <c r="I29" s="3">
        <f t="shared" si="0"/>
        <v>4.4065804481506268</v>
      </c>
      <c r="J29" s="3">
        <f t="shared" si="1"/>
        <v>1.3318666666666668E-2</v>
      </c>
    </row>
    <row r="30" spans="1:10" x14ac:dyDescent="0.3">
      <c r="A30">
        <v>29</v>
      </c>
      <c r="B30" t="s">
        <v>31</v>
      </c>
      <c r="C30">
        <v>4.4693288803100497</v>
      </c>
      <c r="D30">
        <v>1.33099999999999E-2</v>
      </c>
      <c r="E30">
        <v>4.7973508834838796</v>
      </c>
      <c r="F30">
        <v>1.3402000000000001E-2</v>
      </c>
      <c r="G30">
        <v>5.6484229564666704</v>
      </c>
      <c r="H30">
        <v>1.3442000000000001E-2</v>
      </c>
      <c r="I30" s="3">
        <f t="shared" si="0"/>
        <v>4.9717009067535329</v>
      </c>
      <c r="J30" s="3">
        <f t="shared" si="1"/>
        <v>1.3384666666666635E-2</v>
      </c>
    </row>
    <row r="31" spans="1:10" x14ac:dyDescent="0.3">
      <c r="A31">
        <v>30</v>
      </c>
      <c r="B31" t="s">
        <v>32</v>
      </c>
      <c r="C31">
        <v>4.0757606029510498</v>
      </c>
      <c r="D31">
        <v>1.3239999999999899E-2</v>
      </c>
      <c r="E31">
        <v>3.73946857452392</v>
      </c>
      <c r="F31">
        <v>1.31279999999999E-2</v>
      </c>
      <c r="G31">
        <v>4.2277843952178902</v>
      </c>
      <c r="H31">
        <v>1.3495999999999999E-2</v>
      </c>
      <c r="I31" s="3">
        <f t="shared" si="0"/>
        <v>4.0143378575642865</v>
      </c>
      <c r="J31" s="3">
        <f t="shared" si="1"/>
        <v>1.3287999999999934E-2</v>
      </c>
    </row>
    <row r="32" spans="1:10" x14ac:dyDescent="0.3">
      <c r="A32">
        <v>31</v>
      </c>
      <c r="B32" t="s">
        <v>33</v>
      </c>
      <c r="C32">
        <v>4.6962566375732404</v>
      </c>
      <c r="D32">
        <v>1.3972E-2</v>
      </c>
      <c r="E32">
        <v>6.1556251049041704</v>
      </c>
      <c r="F32">
        <v>1.3972E-2</v>
      </c>
      <c r="G32">
        <v>4.6136527061462402</v>
      </c>
      <c r="H32">
        <v>1.3884000000000001E-2</v>
      </c>
      <c r="I32" s="3">
        <f t="shared" si="0"/>
        <v>5.155178149541217</v>
      </c>
      <c r="J32" s="3">
        <f t="shared" si="1"/>
        <v>1.3942666666666667E-2</v>
      </c>
    </row>
    <row r="33" spans="1:10" x14ac:dyDescent="0.3">
      <c r="A33">
        <v>32</v>
      </c>
      <c r="B33" t="s">
        <v>34</v>
      </c>
      <c r="C33">
        <v>4.5993423461914</v>
      </c>
      <c r="D33">
        <v>1.3922E-2</v>
      </c>
      <c r="E33">
        <v>5.51425981521606</v>
      </c>
      <c r="F33">
        <v>1.3697999999999899E-2</v>
      </c>
      <c r="G33">
        <v>3.7794108390808101</v>
      </c>
      <c r="H33">
        <v>1.3682E-2</v>
      </c>
      <c r="I33" s="3">
        <f t="shared" si="0"/>
        <v>4.6310043334960902</v>
      </c>
      <c r="J33" s="3">
        <f t="shared" si="1"/>
        <v>1.37673333333333E-2</v>
      </c>
    </row>
    <row r="34" spans="1:10" x14ac:dyDescent="0.3">
      <c r="A34">
        <v>33</v>
      </c>
      <c r="B34" t="s">
        <v>35</v>
      </c>
      <c r="C34">
        <v>4.5777432918548504</v>
      </c>
      <c r="D34">
        <v>1.3925999999999999E-2</v>
      </c>
      <c r="E34">
        <v>5.4418208599090496</v>
      </c>
      <c r="F34">
        <v>1.3806000000000001E-2</v>
      </c>
      <c r="G34">
        <v>5.2524952888488698</v>
      </c>
      <c r="H34">
        <v>1.375E-2</v>
      </c>
      <c r="I34" s="3">
        <f t="shared" si="0"/>
        <v>5.0906864802042566</v>
      </c>
      <c r="J34" s="3">
        <f t="shared" si="1"/>
        <v>1.3827333333333332E-2</v>
      </c>
    </row>
    <row r="35" spans="1:10" x14ac:dyDescent="0.3">
      <c r="A35">
        <v>34</v>
      </c>
      <c r="B35" t="s">
        <v>36</v>
      </c>
      <c r="C35">
        <v>4.3904654979705802</v>
      </c>
      <c r="D35">
        <v>1.38299999999999E-2</v>
      </c>
      <c r="E35">
        <v>4.9605782032012904</v>
      </c>
      <c r="F35">
        <v>1.3853999999999899E-2</v>
      </c>
      <c r="G35">
        <v>5.7052714824676496</v>
      </c>
      <c r="H35">
        <v>1.3925999999999999E-2</v>
      </c>
      <c r="I35" s="3">
        <f t="shared" si="0"/>
        <v>5.01877172787984</v>
      </c>
      <c r="J35" s="3">
        <f t="shared" si="1"/>
        <v>1.3869999999999933E-2</v>
      </c>
    </row>
    <row r="36" spans="1:10" x14ac:dyDescent="0.3">
      <c r="A36">
        <v>35</v>
      </c>
      <c r="B36" t="s">
        <v>37</v>
      </c>
      <c r="C36">
        <v>4.8163518905639604</v>
      </c>
      <c r="D36">
        <v>1.3974E-2</v>
      </c>
      <c r="E36">
        <v>4.3510851860046298</v>
      </c>
      <c r="F36">
        <v>1.38859999999999E-2</v>
      </c>
      <c r="G36">
        <v>4.0548548698425204</v>
      </c>
      <c r="H36">
        <v>1.3942E-2</v>
      </c>
      <c r="I36" s="3">
        <f t="shared" si="0"/>
        <v>4.4074306488037029</v>
      </c>
      <c r="J36" s="3">
        <f t="shared" si="1"/>
        <v>1.3933999999999966E-2</v>
      </c>
    </row>
    <row r="37" spans="1:10" x14ac:dyDescent="0.3">
      <c r="A37">
        <v>36</v>
      </c>
      <c r="B37" t="s">
        <v>38</v>
      </c>
      <c r="C37">
        <v>4.4988257884979204</v>
      </c>
      <c r="D37">
        <v>1.4534E-2</v>
      </c>
      <c r="E37">
        <v>4.2987461090087802</v>
      </c>
      <c r="F37">
        <v>1.447E-2</v>
      </c>
      <c r="G37">
        <v>4.3496999740600497</v>
      </c>
      <c r="H37">
        <v>1.4486000000000001E-2</v>
      </c>
      <c r="I37" s="3">
        <f t="shared" si="0"/>
        <v>4.3824239571889168</v>
      </c>
      <c r="J37" s="3">
        <f t="shared" si="1"/>
        <v>1.4496666666666666E-2</v>
      </c>
    </row>
    <row r="38" spans="1:10" x14ac:dyDescent="0.3">
      <c r="A38">
        <v>37</v>
      </c>
      <c r="B38" t="s">
        <v>39</v>
      </c>
      <c r="C38">
        <v>4.0247471332550004</v>
      </c>
      <c r="D38">
        <v>1.3302E-2</v>
      </c>
      <c r="E38">
        <v>5.0195362567901602</v>
      </c>
      <c r="F38">
        <v>1.33499999999999E-2</v>
      </c>
      <c r="G38">
        <v>5.7976872920989901</v>
      </c>
      <c r="H38">
        <v>1.3374E-2</v>
      </c>
      <c r="I38" s="3">
        <f t="shared" si="0"/>
        <v>4.9473235607147172</v>
      </c>
      <c r="J38" s="3">
        <f t="shared" si="1"/>
        <v>1.3341999999999965E-2</v>
      </c>
    </row>
    <row r="39" spans="1:10" x14ac:dyDescent="0.3">
      <c r="A39">
        <v>38</v>
      </c>
      <c r="B39" t="s">
        <v>40</v>
      </c>
      <c r="C39">
        <v>6.19451427459716</v>
      </c>
      <c r="D39">
        <v>1.3287999999999999E-2</v>
      </c>
      <c r="E39">
        <v>5.3839831352233798</v>
      </c>
      <c r="F39">
        <v>1.3408E-2</v>
      </c>
      <c r="G39">
        <v>3.9176249504089302</v>
      </c>
      <c r="H39">
        <v>1.33359999999999E-2</v>
      </c>
      <c r="I39" s="3">
        <f t="shared" si="0"/>
        <v>5.16537412007649</v>
      </c>
      <c r="J39" s="3">
        <f t="shared" si="1"/>
        <v>1.3343999999999967E-2</v>
      </c>
    </row>
    <row r="40" spans="1:10" x14ac:dyDescent="0.3">
      <c r="A40">
        <v>39</v>
      </c>
      <c r="B40" t="s">
        <v>41</v>
      </c>
      <c r="C40">
        <v>4.2664222717285103</v>
      </c>
      <c r="D40">
        <v>1.3494000000000001E-2</v>
      </c>
      <c r="E40">
        <v>3.83934354782104</v>
      </c>
      <c r="F40">
        <v>1.3502E-2</v>
      </c>
      <c r="G40">
        <v>4.8439240455627397</v>
      </c>
      <c r="H40">
        <v>1.3653999999999999E-2</v>
      </c>
      <c r="I40" s="3">
        <f t="shared" si="0"/>
        <v>4.3165632883707632</v>
      </c>
      <c r="J40" s="3">
        <f t="shared" si="1"/>
        <v>1.355E-2</v>
      </c>
    </row>
    <row r="41" spans="1:10" x14ac:dyDescent="0.3">
      <c r="A41">
        <v>40</v>
      </c>
      <c r="B41" t="s">
        <v>42</v>
      </c>
      <c r="C41">
        <v>3.8882427215576101</v>
      </c>
      <c r="D41">
        <v>1.3436E-2</v>
      </c>
      <c r="E41">
        <v>4.4080626964569003</v>
      </c>
      <c r="F41">
        <v>1.3564E-2</v>
      </c>
      <c r="G41">
        <v>5.0316128730773899</v>
      </c>
      <c r="H41">
        <v>1.3524E-2</v>
      </c>
      <c r="I41" s="3">
        <f t="shared" si="0"/>
        <v>4.4426394303639674</v>
      </c>
      <c r="J41" s="3">
        <f t="shared" si="1"/>
        <v>1.3507999999999999E-2</v>
      </c>
    </row>
    <row r="42" spans="1:10" x14ac:dyDescent="0.3">
      <c r="A42">
        <v>41</v>
      </c>
      <c r="B42" t="s">
        <v>43</v>
      </c>
      <c r="C42">
        <v>6.6931061744689897</v>
      </c>
      <c r="D42">
        <v>1.7409999999999998E-2</v>
      </c>
      <c r="E42">
        <v>6.6817393302917401</v>
      </c>
      <c r="F42">
        <v>1.7706E-2</v>
      </c>
      <c r="G42">
        <v>5.8035094738006503</v>
      </c>
      <c r="H42">
        <v>1.7465999999999999E-2</v>
      </c>
      <c r="I42" s="3">
        <f t="shared" si="0"/>
        <v>6.3927849928537936</v>
      </c>
      <c r="J42" s="3">
        <f t="shared" si="1"/>
        <v>1.7527333333333329E-2</v>
      </c>
    </row>
    <row r="43" spans="1:10" x14ac:dyDescent="0.3">
      <c r="A43">
        <v>42</v>
      </c>
      <c r="B43" t="s">
        <v>44</v>
      </c>
      <c r="C43">
        <v>4.1122028827667201</v>
      </c>
      <c r="D43">
        <v>1.3927999999999999E-2</v>
      </c>
      <c r="E43">
        <v>3.9524259567260698</v>
      </c>
      <c r="F43">
        <v>1.384E-2</v>
      </c>
      <c r="G43">
        <v>5.3788678646087602</v>
      </c>
      <c r="H43">
        <v>1.3832000000000001E-2</v>
      </c>
      <c r="I43" s="3">
        <f t="shared" si="0"/>
        <v>4.4811655680338509</v>
      </c>
      <c r="J43" s="3">
        <f t="shared" si="1"/>
        <v>1.3866666666666666E-2</v>
      </c>
    </row>
    <row r="44" spans="1:10" x14ac:dyDescent="0.3">
      <c r="A44">
        <v>43</v>
      </c>
      <c r="B44" t="s">
        <v>45</v>
      </c>
      <c r="C44">
        <v>4.7447588443756104</v>
      </c>
      <c r="D44">
        <v>1.4659999999999999E-2</v>
      </c>
      <c r="E44">
        <v>5.3352258205413801</v>
      </c>
      <c r="F44">
        <v>1.478E-2</v>
      </c>
      <c r="G44">
        <v>5.1758296489715496</v>
      </c>
      <c r="H44">
        <v>1.4748000000000001E-2</v>
      </c>
      <c r="I44" s="3">
        <f t="shared" si="0"/>
        <v>5.0852714379628461</v>
      </c>
      <c r="J44" s="3">
        <f t="shared" si="1"/>
        <v>1.4729333333333336E-2</v>
      </c>
    </row>
    <row r="45" spans="1:10" x14ac:dyDescent="0.3">
      <c r="A45">
        <v>44</v>
      </c>
      <c r="B45" t="s">
        <v>46</v>
      </c>
      <c r="C45">
        <v>7.5295419692993102</v>
      </c>
      <c r="D45">
        <v>1.8277999999999999E-2</v>
      </c>
      <c r="E45">
        <v>7.6767144203186</v>
      </c>
      <c r="F45">
        <v>1.823E-2</v>
      </c>
      <c r="G45">
        <v>6.4141345024108798</v>
      </c>
      <c r="H45">
        <v>1.8461999999999999E-2</v>
      </c>
      <c r="I45" s="3">
        <f>(C45+E45+G45)/3</f>
        <v>7.2067969640095955</v>
      </c>
      <c r="J45" s="3">
        <f t="shared" si="1"/>
        <v>1.8323333333333334E-2</v>
      </c>
    </row>
    <row r="46" spans="1:10" x14ac:dyDescent="0.3">
      <c r="A46">
        <v>45</v>
      </c>
      <c r="B46" t="s">
        <v>47</v>
      </c>
      <c r="C46">
        <v>5.8496544361114502</v>
      </c>
      <c r="D46">
        <v>1.4432E-2</v>
      </c>
      <c r="E46">
        <v>5.2673444747924796</v>
      </c>
      <c r="F46">
        <v>1.4272E-2</v>
      </c>
      <c r="G46">
        <v>7.0413095951080296</v>
      </c>
      <c r="H46">
        <v>1.42639999999999E-2</v>
      </c>
      <c r="I46" s="3">
        <f t="shared" si="0"/>
        <v>6.0527695020039864</v>
      </c>
      <c r="J46" s="3">
        <f t="shared" si="1"/>
        <v>1.4322666666666635E-2</v>
      </c>
    </row>
    <row r="47" spans="1:10" x14ac:dyDescent="0.3">
      <c r="A47">
        <v>46</v>
      </c>
      <c r="B47" t="s">
        <v>48</v>
      </c>
      <c r="C47">
        <v>13.8584713935852</v>
      </c>
      <c r="D47">
        <v>3.1075999999999999E-2</v>
      </c>
      <c r="E47">
        <v>11.2832977771759</v>
      </c>
      <c r="F47">
        <v>3.0675999999999998E-2</v>
      </c>
      <c r="G47">
        <v>12.9518430233001</v>
      </c>
      <c r="H47">
        <v>3.0956000000000001E-2</v>
      </c>
      <c r="I47" s="3">
        <f t="shared" si="0"/>
        <v>12.697870731353733</v>
      </c>
      <c r="J47" s="3">
        <f t="shared" si="1"/>
        <v>3.0902666666666665E-2</v>
      </c>
    </row>
    <row r="48" spans="1:10" x14ac:dyDescent="0.3">
      <c r="A48">
        <v>47</v>
      </c>
      <c r="B48" t="s">
        <v>49</v>
      </c>
      <c r="C48">
        <v>4.9581263065338099</v>
      </c>
      <c r="D48">
        <v>1.77519999999999E-2</v>
      </c>
      <c r="E48">
        <v>5.2498705387115399</v>
      </c>
      <c r="F48">
        <v>1.7815999999999999E-2</v>
      </c>
      <c r="G48">
        <v>4.5939879417419398</v>
      </c>
      <c r="H48">
        <v>1.81439999999999E-2</v>
      </c>
      <c r="I48" s="3">
        <f t="shared" si="0"/>
        <v>4.9339949289957632</v>
      </c>
      <c r="J48" s="3">
        <f t="shared" si="1"/>
        <v>1.7903999999999934E-2</v>
      </c>
    </row>
    <row r="49" spans="1:10" x14ac:dyDescent="0.3">
      <c r="A49">
        <v>48</v>
      </c>
      <c r="B49" t="s">
        <v>50</v>
      </c>
      <c r="C49">
        <v>7.2443950176238996</v>
      </c>
      <c r="D49">
        <v>2.0899999999999998E-2</v>
      </c>
      <c r="E49">
        <v>7.0826704502105704</v>
      </c>
      <c r="F49">
        <v>2.102E-2</v>
      </c>
      <c r="G49">
        <v>5.65382957458496</v>
      </c>
      <c r="H49">
        <v>2.0979999999999999E-2</v>
      </c>
      <c r="I49" s="3">
        <f t="shared" si="0"/>
        <v>6.6602983474731436</v>
      </c>
      <c r="J49" s="3">
        <f t="shared" si="1"/>
        <v>2.0966666666666665E-2</v>
      </c>
    </row>
    <row r="50" spans="1:10" x14ac:dyDescent="0.3">
      <c r="A50">
        <v>49</v>
      </c>
      <c r="B50" t="s">
        <v>51</v>
      </c>
      <c r="C50">
        <v>11.1909692287445</v>
      </c>
      <c r="D50">
        <v>2.7757999999999901E-2</v>
      </c>
      <c r="E50">
        <v>11.4406642913818</v>
      </c>
      <c r="F50">
        <v>2.7798E-2</v>
      </c>
      <c r="G50">
        <v>12.863555192947301</v>
      </c>
      <c r="H50">
        <v>2.7806000000000001E-2</v>
      </c>
      <c r="I50" s="3">
        <f t="shared" si="0"/>
        <v>11.831729571024534</v>
      </c>
      <c r="J50" s="3">
        <f t="shared" si="1"/>
        <v>2.7787333333333299E-2</v>
      </c>
    </row>
    <row r="51" spans="1:10" x14ac:dyDescent="0.3">
      <c r="A51">
        <v>50</v>
      </c>
      <c r="B51" t="s">
        <v>52</v>
      </c>
      <c r="C51">
        <v>10.882711648940999</v>
      </c>
      <c r="D51">
        <v>2.7487999999999999E-2</v>
      </c>
      <c r="E51">
        <v>10.3095543384552</v>
      </c>
      <c r="F51">
        <v>2.7392E-2</v>
      </c>
      <c r="G51">
        <v>9.9560661315917898</v>
      </c>
      <c r="H51">
        <v>2.7487999999999999E-2</v>
      </c>
      <c r="I51" s="3">
        <f t="shared" si="0"/>
        <v>10.382777372995996</v>
      </c>
      <c r="J51" s="3">
        <f t="shared" si="1"/>
        <v>2.7455999999999998E-2</v>
      </c>
    </row>
    <row r="52" spans="1:10" x14ac:dyDescent="0.3">
      <c r="A52">
        <v>51</v>
      </c>
      <c r="B52" t="s">
        <v>53</v>
      </c>
      <c r="C52">
        <v>9.3652677536010707</v>
      </c>
      <c r="D52">
        <v>2.1465999999999999E-2</v>
      </c>
      <c r="E52">
        <v>5.33326959609985</v>
      </c>
      <c r="F52">
        <v>2.1409999999999998E-2</v>
      </c>
      <c r="G52">
        <v>5.5764484405517498</v>
      </c>
      <c r="H52">
        <v>2.1458000000000001E-2</v>
      </c>
      <c r="I52" s="3">
        <f t="shared" si="0"/>
        <v>6.7583285967508901</v>
      </c>
      <c r="J52" s="3">
        <f t="shared" si="1"/>
        <v>2.1444666666666667E-2</v>
      </c>
    </row>
    <row r="53" spans="1:10" x14ac:dyDescent="0.3">
      <c r="A53">
        <v>52</v>
      </c>
      <c r="B53" t="s">
        <v>54</v>
      </c>
      <c r="C53">
        <v>5.2366051673889098</v>
      </c>
      <c r="D53">
        <v>2.1144E-2</v>
      </c>
      <c r="E53">
        <v>6.9663226604461599</v>
      </c>
      <c r="F53">
        <v>2.1399999999999999E-2</v>
      </c>
      <c r="G53">
        <v>5.33262038230896</v>
      </c>
      <c r="H53">
        <v>2.1343999999999998E-2</v>
      </c>
      <c r="I53" s="3">
        <f t="shared" si="0"/>
        <v>5.8451827367146763</v>
      </c>
      <c r="J53" s="3">
        <f t="shared" si="1"/>
        <v>2.1295999999999999E-2</v>
      </c>
    </row>
    <row r="54" spans="1:10" x14ac:dyDescent="0.3">
      <c r="A54">
        <v>53</v>
      </c>
      <c r="B54" t="s">
        <v>55</v>
      </c>
      <c r="C54">
        <v>9.6188654899597097</v>
      </c>
      <c r="D54">
        <v>2.4674000000000001E-2</v>
      </c>
      <c r="E54">
        <v>9.7376747131347603</v>
      </c>
      <c r="F54">
        <v>2.4794E-2</v>
      </c>
      <c r="G54">
        <v>8.2576215267181396</v>
      </c>
      <c r="H54">
        <v>2.4906000000000001E-2</v>
      </c>
      <c r="I54" s="3">
        <f t="shared" si="0"/>
        <v>9.2047205766042026</v>
      </c>
      <c r="J54" s="3">
        <f t="shared" si="1"/>
        <v>2.4791333333333332E-2</v>
      </c>
    </row>
    <row r="55" spans="1:10" x14ac:dyDescent="0.3">
      <c r="A55">
        <v>54</v>
      </c>
      <c r="B55" t="s">
        <v>56</v>
      </c>
      <c r="C55">
        <v>8.2591469287872297</v>
      </c>
      <c r="D55">
        <v>2.5228E-2</v>
      </c>
      <c r="E55">
        <v>12.1962826251983</v>
      </c>
      <c r="F55">
        <v>2.5204000000000001E-2</v>
      </c>
      <c r="G55">
        <v>7.3727793693542401</v>
      </c>
      <c r="H55">
        <v>2.5291999999999999E-2</v>
      </c>
      <c r="I55" s="3">
        <f t="shared" si="0"/>
        <v>9.2760696411132582</v>
      </c>
      <c r="J55" s="3">
        <f t="shared" si="1"/>
        <v>2.5241333333333334E-2</v>
      </c>
    </row>
    <row r="56" spans="1:10" x14ac:dyDescent="0.3">
      <c r="A56">
        <v>55</v>
      </c>
      <c r="B56" t="s">
        <v>57</v>
      </c>
      <c r="C56">
        <v>6.5068221092224103</v>
      </c>
      <c r="D56">
        <v>2.2332000000000001E-2</v>
      </c>
      <c r="E56">
        <v>5.8268344402313197</v>
      </c>
      <c r="F56">
        <v>2.2235999999999999E-2</v>
      </c>
      <c r="G56">
        <v>5.96357917785644</v>
      </c>
      <c r="H56">
        <v>2.2404E-2</v>
      </c>
      <c r="I56" s="3">
        <f t="shared" si="0"/>
        <v>6.099078575770057</v>
      </c>
      <c r="J56" s="3">
        <f t="shared" si="1"/>
        <v>2.2324E-2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2026-03-26T19:18:58Z</dcterms:modified>
</cp:coreProperties>
</file>