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I45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6" i="1"/>
  <c r="I47" i="1"/>
  <c r="I48" i="1"/>
  <c r="I49" i="1"/>
  <c r="I50" i="1"/>
  <c r="I51" i="1"/>
  <c r="I52" i="1"/>
  <c r="I53" i="1"/>
  <c r="I54" i="1"/>
  <c r="I55" i="1"/>
  <c r="I56" i="1"/>
  <c r="J2" i="1"/>
  <c r="I2" i="1"/>
  <c r="P3" i="1" l="1"/>
  <c r="Q9" i="1"/>
  <c r="P10" i="1"/>
  <c r="Q4" i="1"/>
  <c r="P5" i="1"/>
  <c r="Q6" i="1"/>
  <c r="P12" i="1"/>
  <c r="P7" i="1"/>
  <c r="Q8" i="1"/>
  <c r="Q3" i="1"/>
  <c r="P4" i="1"/>
  <c r="Q10" i="1"/>
  <c r="Q5" i="1"/>
  <c r="Q11" i="1"/>
  <c r="P9" i="1"/>
  <c r="P11" i="1"/>
  <c r="Q12" i="1"/>
  <c r="P2" i="1"/>
  <c r="Q7" i="1"/>
  <c r="P6" i="1"/>
  <c r="Q2" i="1"/>
  <c r="P8" i="1"/>
  <c r="Q15" i="1" l="1"/>
  <c r="P15" i="1"/>
</calcChain>
</file>

<file path=xl/sharedStrings.xml><?xml version="1.0" encoding="utf-8"?>
<sst xmlns="http://schemas.openxmlformats.org/spreadsheetml/2006/main" count="82" uniqueCount="75">
  <si>
    <t>question</t>
  </si>
  <si>
    <t>time</t>
  </si>
  <si>
    <t>cost</t>
  </si>
  <si>
    <t>What is the risk level of "Carrier Identity Spoofing"?</t>
  </si>
  <si>
    <t>What is the protocol used by "Receipt Delivery"?</t>
  </si>
  <si>
    <t>What is the protocol used by "Customer Profile Lookup"?</t>
  </si>
  <si>
    <t>What is the cost of "Immutable Append-Only Log Storage"?</t>
  </si>
  <si>
    <t>What is the implementation status of "Return Eligibility Verification Engine"?</t>
  </si>
  <si>
    <t>Which data flows are inputs to "Screen for Fraud"?</t>
  </si>
  <si>
    <t>Which data store receives "Refund Execution Audit Entry"?</t>
  </si>
  <si>
    <t>Which is the following task after "Ship Order"?</t>
  </si>
  <si>
    <t>Which is the following task after "Display Return Policy"?</t>
  </si>
  <si>
    <t>Which are the possible mitigations for threat "Payment Data Tampering in Transit"?</t>
  </si>
  <si>
    <t>What threats are linked to "Generate Delivery Milestone"?</t>
  </si>
  <si>
    <t>What categories are the mitigations which can counter threat named "Sensitive Data Leakage in Receipts"?</t>
  </si>
  <si>
    <t>Which trust boundaries are crossed by the data flows that are input to "Execute Refund"?</t>
  </si>
  <si>
    <t>What trust zone does the data store that stores "Payment Record Storage" reside in?</t>
  </si>
  <si>
    <t>What mitigations are implemented to data store "Fraud Rules Repository"?</t>
  </si>
  <si>
    <t>What threats impact the data flows which are outputted by the process "Execute Payment Transaction"?</t>
  </si>
  <si>
    <t>What threats impact the data flows which cross the trust boundary named "Internal Order Management Zone (1)"?</t>
  </si>
  <si>
    <t>What mitigations are implemented for the processes residing in trust zone named "Internal Network Boundary (2)"?</t>
  </si>
  <si>
    <t>What mitigations secure the data flows stored by the data store "Customer Database"?</t>
  </si>
  <si>
    <t>What threats impact the external entity which sends the data flow named "Carrier Tracking Update"?</t>
  </si>
  <si>
    <t>What categories are the threats impacting the data flows which are outputs of the process "Publish Approved Review"?</t>
  </si>
  <si>
    <t>What categories are the mitigations which can counter the threats affecting data store "Audit Log"?</t>
  </si>
  <si>
    <t>What categories are the mitigations which can counter the threats affecting data store "Order and Shipment Database"?</t>
  </si>
  <si>
    <t>What threats impact the process which outputs the data flow which is stored by data store "Inventory Database"?</t>
  </si>
  <si>
    <t>What mitigations are used for the process which outputs the data flow that is taken as input by process "Assess Return Eligibility"?</t>
  </si>
  <si>
    <t>What are the external entities from the "Process Payment" BPMN Sub-Process?</t>
  </si>
  <si>
    <t>What are the data stores from the "Manage Customer Profile" BPMN Sub-Process?</t>
  </si>
  <si>
    <t>What threats affect the processes from the DFD decomposition of "Process Tracking Update &amp; Notify Customer" BPMN Sub-Process?</t>
  </si>
  <si>
    <t>What are the threats and risk levels of threats affecting processes from the DFD decomposition of "Submit and Moderate Review" BPMN Sub-Process?</t>
  </si>
  <si>
    <t>What are the trust zones from the DFD Decomposition of "Process Return &amp; Issue Refund" BPMN Sub-Process?</t>
  </si>
  <si>
    <t>What threats affect the "Screen for Fraud" process?</t>
  </si>
  <si>
    <t>What are the threats affecting the "Execute Payment Transaction" process?</t>
  </si>
  <si>
    <t>What are the threats affecting the "Session Store" data store?</t>
  </si>
  <si>
    <t>What are the threats affecting the "Content Moderation Service (ModerateAI)" external entity?</t>
  </si>
  <si>
    <t>What are the threats affecting the "Order and Shipment Database" data store?</t>
  </si>
  <si>
    <t>Which threats can "Immutable Append-Only Log Storage" mitigate?</t>
  </si>
  <si>
    <t>Which mitigations are defined for "Transaction Repudiation"?</t>
  </si>
  <si>
    <t>Which mitigations are defined for "Refund Amount Escalation"?</t>
  </si>
  <si>
    <t>Which threats does "Carrier API Key Authentication and IP Allowlisting" mitigate?</t>
  </si>
  <si>
    <t>Which mitigations are defined for "Refund Repudiation"?</t>
  </si>
  <si>
    <t>To what processes is the external entity "Customer" sending data flows across all cases?</t>
  </si>
  <si>
    <t>What data flows are being sent by external entity "Payment Gateway Provider (StripeConnect)" across all cases?</t>
  </si>
  <si>
    <t>To what threats is the data store "Customer Database" exposed across all cases?</t>
  </si>
  <si>
    <t>What mitigations are defined for the data flows stored by data store "Audit Log" across all cases?</t>
  </si>
  <si>
    <t>What threats are being mitigated by mitigation "Comprehensive Transaction Logging" across all cases?</t>
  </si>
  <si>
    <t>Trace the path from process "Screen for Fraud" to data store "Payment Records".</t>
  </si>
  <si>
    <t>Trace the path from external entity "Payment Gateway Provider (StripeConnect)" to external entity "Customer".</t>
  </si>
  <si>
    <t>Trace the path from external entity "Customer" to external entity "Email Delivery Service (SendGrid)".</t>
  </si>
  <si>
    <t>Trace the path from process "Receive and Validate Review" to data store "Product Reviews Database".</t>
  </si>
  <si>
    <t>Trace the path from process "Validate Return Request" to external entity "Payment Gateway Provider (StripeConnect)".</t>
  </si>
  <si>
    <t>What is the risk level of "Carrier Identity Spoofing", and what trust boundary does "Ingest &amp; Validate Carrier Update" reside in?</t>
  </si>
  <si>
    <t>Which mitigations are linked to "Refund Repudiation", and what protocol is used by "Refund Authorization Request"?</t>
  </si>
  <si>
    <t>What threats affect "Screen for Fraud" and what mitigations are applied to "Fraud Rules Repository"?</t>
  </si>
  <si>
    <t>What trust boundaries are crossed by "Approved Payment Request" and what threats affect "Generate Payment Receipt"?</t>
  </si>
  <si>
    <t>What is the implementation status of "Return Eligibility Verification Engine", and what data store receives "Return Processing Audit Entry"?</t>
  </si>
  <si>
    <t>ID</t>
  </si>
  <si>
    <t>Avg time</t>
  </si>
  <si>
    <t>Avg cost</t>
  </si>
  <si>
    <t>Category</t>
  </si>
  <si>
    <t>Direct relation queries</t>
  </si>
  <si>
    <t>1 hop relationship traversal queries</t>
  </si>
  <si>
    <t>2 hop relationship traversal queries</t>
  </si>
  <si>
    <t>3 hop relationship traversal queries</t>
  </si>
  <si>
    <t>4 hop relationship traversal queries</t>
  </si>
  <si>
    <t>BPMN to DFD decomposition traceability queries</t>
  </si>
  <si>
    <t>Threat-to-Element Mapping</t>
  </si>
  <si>
    <t>Mitigation-to-Threat Mapping</t>
  </si>
  <si>
    <t>Cross-case reuse and same-entity traceability queries</t>
  </si>
  <si>
    <t>Multi-hop end-to-end path queries</t>
  </si>
  <si>
    <t>Multiple intent questions</t>
  </si>
  <si>
    <t>Avg time total</t>
  </si>
  <si>
    <t>Avg cost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</si>
</sst>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Font="1"/>
    <xf numFmtId="2" fontId="0" fillId="2" borderId="0" xfId="0" applyNumberFormat="1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6"/>
  <sheetViews>
    <sheetView tabSelected="1" workbookViewId="0">
      <selection activeCell="O23" sqref="O23"/>
    </sheetView>
  </sheetViews>
  <sheetFormatPr defaultRowHeight="14.4" x14ac:dyDescent="0.3"/>
  <sheetData>
    <row r="1" spans="1:17" x14ac:dyDescent="0.3">
      <c r="A1" t="s">
        <v>58</v>
      </c>
      <c r="B1" t="s">
        <v>0</v>
      </c>
      <c r="C1" t="s">
        <v>1</v>
      </c>
      <c r="D1" t="s">
        <v>2</v>
      </c>
      <c r="E1" t="s">
        <v>1</v>
      </c>
      <c r="F1" t="s">
        <v>2</v>
      </c>
      <c r="G1" t="s">
        <v>1</v>
      </c>
      <c r="H1" t="s">
        <v>2</v>
      </c>
      <c r="I1" s="1" t="s">
        <v>59</v>
      </c>
      <c r="J1" s="1" t="s">
        <v>60</v>
      </c>
      <c r="N1" t="s">
        <v>58</v>
      </c>
      <c r="O1" t="s">
        <v>61</v>
      </c>
      <c r="P1" t="s">
        <v>59</v>
      </c>
      <c r="Q1" t="s">
        <v>60</v>
      </c>
    </row>
    <row r="2" spans="1:17" x14ac:dyDescent="0.3">
      <c r="A2">
        <v>1</v>
      </c>
      <c r="B2" t="s">
        <v>3</v>
      </c>
      <c r="C2">
        <v>10.3732459545135</v>
      </c>
      <c r="D2">
        <v>3.0391999999999999E-2</v>
      </c>
      <c r="E2">
        <v>4.6489560604095397</v>
      </c>
      <c r="F2">
        <v>3.0391999999999999E-2</v>
      </c>
      <c r="G2">
        <v>4.8779416084289497</v>
      </c>
      <c r="H2">
        <v>3.0391999999999999E-2</v>
      </c>
      <c r="I2" s="3">
        <f>(C2+E2+G2)/3</f>
        <v>6.6333812077839953</v>
      </c>
      <c r="J2" s="3">
        <f>(D2+F2+H2)/3</f>
        <v>3.0391999999999999E-2</v>
      </c>
      <c r="N2">
        <v>1</v>
      </c>
      <c r="O2" s="2" t="s">
        <v>62</v>
      </c>
      <c r="P2" s="4">
        <f>(I2+I3+I4+I5+I6)/5</f>
        <v>4.6565907478332438</v>
      </c>
      <c r="Q2" s="4">
        <f>(J2+J3+J4+J5+J6)/5</f>
        <v>3.4096666666666664E-2</v>
      </c>
    </row>
    <row r="3" spans="1:17" x14ac:dyDescent="0.3">
      <c r="A3">
        <v>2</v>
      </c>
      <c r="B3" t="s">
        <v>4</v>
      </c>
      <c r="C3">
        <v>5.3741302490234304</v>
      </c>
      <c r="D3">
        <v>5.4438E-2</v>
      </c>
      <c r="E3">
        <v>4.7095584869384703</v>
      </c>
      <c r="F3">
        <v>5.4438E-2</v>
      </c>
      <c r="G3">
        <v>4.12953281402587</v>
      </c>
      <c r="H3">
        <v>5.4357999999999997E-2</v>
      </c>
      <c r="I3" s="3">
        <f t="shared" ref="I3:I56" si="0">(C3+E3+G3)/3</f>
        <v>4.7377405166625897</v>
      </c>
      <c r="J3" s="3">
        <f t="shared" ref="J3:J56" si="1">(D3+F3+H3)/3</f>
        <v>5.4411333333333332E-2</v>
      </c>
      <c r="N3">
        <v>2</v>
      </c>
      <c r="O3" s="2" t="s">
        <v>63</v>
      </c>
      <c r="P3" s="4">
        <f>(I7+I8+I9+I10+I11)/5</f>
        <v>4.1203062693277941</v>
      </c>
      <c r="Q3" s="4">
        <f>(J7+J8+J9+J10+J11)/5</f>
        <v>3.2537200000000002E-2</v>
      </c>
    </row>
    <row r="4" spans="1:17" x14ac:dyDescent="0.3">
      <c r="A4">
        <v>3</v>
      </c>
      <c r="B4" t="s">
        <v>5</v>
      </c>
      <c r="C4">
        <v>3.8510279655456499</v>
      </c>
      <c r="D4">
        <v>1.5363999999999999E-2</v>
      </c>
      <c r="E4">
        <v>3.3910858631134002</v>
      </c>
      <c r="F4">
        <v>1.5363999999999999E-2</v>
      </c>
      <c r="G4">
        <v>2.9484212398528999</v>
      </c>
      <c r="H4">
        <v>1.5363999999999999E-2</v>
      </c>
      <c r="I4" s="3">
        <f t="shared" si="0"/>
        <v>3.3968450228373168</v>
      </c>
      <c r="J4" s="3">
        <f t="shared" si="1"/>
        <v>1.5363999999999997E-2</v>
      </c>
      <c r="N4">
        <v>3</v>
      </c>
      <c r="O4" s="2" t="s">
        <v>64</v>
      </c>
      <c r="P4" s="4">
        <f>(I12+I13+I14+I15+I16)/5</f>
        <v>4.9509338219960481</v>
      </c>
      <c r="Q4" s="4">
        <f>(J12+J13+J14+J15+J16)/5</f>
        <v>5.1999333333333321E-2</v>
      </c>
    </row>
    <row r="5" spans="1:17" x14ac:dyDescent="0.3">
      <c r="A5">
        <v>4</v>
      </c>
      <c r="B5" t="s">
        <v>6</v>
      </c>
      <c r="C5">
        <v>5.7480132579803396</v>
      </c>
      <c r="D5">
        <v>3.8786000000000001E-2</v>
      </c>
      <c r="E5">
        <v>4.82138991355896</v>
      </c>
      <c r="F5">
        <v>3.8778E-2</v>
      </c>
      <c r="G5">
        <v>4.8308553695678702</v>
      </c>
      <c r="H5">
        <v>3.8738000000000002E-2</v>
      </c>
      <c r="I5" s="3">
        <f t="shared" si="0"/>
        <v>5.1334195137023899</v>
      </c>
      <c r="J5" s="3">
        <f t="shared" si="1"/>
        <v>3.8767333333333327E-2</v>
      </c>
      <c r="N5">
        <v>4</v>
      </c>
      <c r="O5" s="2" t="s">
        <v>65</v>
      </c>
      <c r="P5" s="4">
        <f>(I17+I18+I19+I20+I21)/5</f>
        <v>5.8235394477844196</v>
      </c>
      <c r="Q5" s="4">
        <f>(J17+J18+J19+J20+J21)/5</f>
        <v>5.1715333333333335E-2</v>
      </c>
    </row>
    <row r="6" spans="1:17" x14ac:dyDescent="0.3">
      <c r="A6">
        <v>5</v>
      </c>
      <c r="B6" t="s">
        <v>7</v>
      </c>
      <c r="C6">
        <v>3.5891051292419398</v>
      </c>
      <c r="D6">
        <v>3.1618E-2</v>
      </c>
      <c r="E6">
        <v>3.4046933650970401</v>
      </c>
      <c r="F6">
        <v>3.1514E-2</v>
      </c>
      <c r="G6">
        <v>3.1509039402007999</v>
      </c>
      <c r="H6">
        <v>3.1514E-2</v>
      </c>
      <c r="I6" s="3">
        <f t="shared" si="0"/>
        <v>3.3815674781799268</v>
      </c>
      <c r="J6" s="3">
        <f t="shared" si="1"/>
        <v>3.1548666666666662E-2</v>
      </c>
      <c r="N6">
        <v>5</v>
      </c>
      <c r="O6" s="2" t="s">
        <v>66</v>
      </c>
      <c r="P6" s="4">
        <f>(I22+I23+I24+I25+I26)/5</f>
        <v>8.0569684823353924</v>
      </c>
      <c r="Q6" s="4">
        <f>(J22+J23+J24+J25+J26)/5</f>
        <v>0.10507893333333326</v>
      </c>
    </row>
    <row r="7" spans="1:17" x14ac:dyDescent="0.3">
      <c r="A7">
        <v>6</v>
      </c>
      <c r="B7" t="s">
        <v>8</v>
      </c>
      <c r="C7">
        <v>4.6898343563079798</v>
      </c>
      <c r="D7">
        <v>5.3079999999999898E-2</v>
      </c>
      <c r="E7">
        <v>4.3521342277526802</v>
      </c>
      <c r="F7">
        <v>5.3095999999999997E-2</v>
      </c>
      <c r="G7">
        <v>5.9446744918823198</v>
      </c>
      <c r="H7">
        <v>5.3072000000000001E-2</v>
      </c>
      <c r="I7" s="3">
        <f t="shared" si="0"/>
        <v>4.9955476919809927</v>
      </c>
      <c r="J7" s="3">
        <f t="shared" si="1"/>
        <v>5.3082666666666632E-2</v>
      </c>
      <c r="N7">
        <v>6</v>
      </c>
      <c r="O7" s="2" t="s">
        <v>67</v>
      </c>
      <c r="P7" s="4">
        <f>(I27+I28+I29+I30+I31)/5</f>
        <v>8.5804451147715124</v>
      </c>
      <c r="Q7" s="4">
        <f>(J27+J28+J29+J30+J31)/5</f>
        <v>1.6484533333333311E-2</v>
      </c>
    </row>
    <row r="8" spans="1:17" x14ac:dyDescent="0.3">
      <c r="A8">
        <v>7</v>
      </c>
      <c r="B8" t="s">
        <v>9</v>
      </c>
      <c r="C8">
        <v>5.0390017032623202</v>
      </c>
      <c r="D8">
        <v>5.7265999999999997E-2</v>
      </c>
      <c r="E8">
        <v>4.1637620925903303</v>
      </c>
      <c r="F8">
        <v>5.7265999999999997E-2</v>
      </c>
      <c r="G8">
        <v>4.4039595127105704</v>
      </c>
      <c r="H8">
        <v>5.7265999999999997E-2</v>
      </c>
      <c r="I8" s="3">
        <f t="shared" si="0"/>
        <v>4.5355744361877406</v>
      </c>
      <c r="J8" s="3">
        <f t="shared" si="1"/>
        <v>5.7266000000000004E-2</v>
      </c>
      <c r="N8">
        <v>7</v>
      </c>
      <c r="O8" s="2" t="s">
        <v>68</v>
      </c>
      <c r="P8" s="4">
        <f>(I32+I33+I34+I35+I36)/5</f>
        <v>4.4411286195119173</v>
      </c>
      <c r="Q8" s="4">
        <f>(J32+J33+J34+J35+J36)/5</f>
        <v>5.0969333333333332E-2</v>
      </c>
    </row>
    <row r="9" spans="1:17" x14ac:dyDescent="0.3">
      <c r="A9">
        <v>8</v>
      </c>
      <c r="B9" t="s">
        <v>10</v>
      </c>
      <c r="C9">
        <v>3.92953252792358</v>
      </c>
      <c r="D9">
        <v>9.528E-3</v>
      </c>
      <c r="E9">
        <v>4.4751379489898602</v>
      </c>
      <c r="F9">
        <v>9.5359999999999993E-3</v>
      </c>
      <c r="G9">
        <v>3.4184694290161102</v>
      </c>
      <c r="H9">
        <v>9.5359999999999993E-3</v>
      </c>
      <c r="I9" s="3">
        <f t="shared" si="0"/>
        <v>3.9410466353098497</v>
      </c>
      <c r="J9" s="3">
        <f t="shared" si="1"/>
        <v>9.5333333333333329E-3</v>
      </c>
      <c r="N9">
        <v>8</v>
      </c>
      <c r="O9" s="2" t="s">
        <v>69</v>
      </c>
      <c r="P9" s="4">
        <f>(I37+I38+I39+I40+I41)/5</f>
        <v>4.1214447657267206</v>
      </c>
      <c r="Q9" s="4">
        <f>(J37+J38+J39+J40+J41)/5</f>
        <v>3.4011199999999985E-2</v>
      </c>
    </row>
    <row r="10" spans="1:17" x14ac:dyDescent="0.3">
      <c r="A10">
        <v>9</v>
      </c>
      <c r="B10" t="s">
        <v>11</v>
      </c>
      <c r="C10">
        <v>3.4178032875061</v>
      </c>
      <c r="D10">
        <v>9.6439999999999998E-3</v>
      </c>
      <c r="E10">
        <v>3.1889836788177401</v>
      </c>
      <c r="F10">
        <v>9.6439999999999998E-3</v>
      </c>
      <c r="G10">
        <v>3.4476625919342001</v>
      </c>
      <c r="H10">
        <v>9.6740000000000003E-3</v>
      </c>
      <c r="I10" s="3">
        <f t="shared" si="0"/>
        <v>3.3514831860860137</v>
      </c>
      <c r="J10" s="3">
        <f t="shared" si="1"/>
        <v>9.6540000000000011E-3</v>
      </c>
      <c r="N10">
        <v>9</v>
      </c>
      <c r="O10" s="2" t="s">
        <v>70</v>
      </c>
      <c r="P10" s="4">
        <f>(I42+I43+I44+I45+I46)/5</f>
        <v>4.8508421103159538</v>
      </c>
      <c r="Q10" s="4">
        <f>(J42+J43+J44+J45+J46)/5</f>
        <v>5.1926933333333314E-2</v>
      </c>
    </row>
    <row r="11" spans="1:17" x14ac:dyDescent="0.3">
      <c r="A11">
        <v>10</v>
      </c>
      <c r="B11" t="s">
        <v>12</v>
      </c>
      <c r="C11">
        <v>3.9136974811553902</v>
      </c>
      <c r="D11">
        <v>3.3149999999999999E-2</v>
      </c>
      <c r="E11">
        <v>3.8940508365631099</v>
      </c>
      <c r="F11">
        <v>3.3149999999999999E-2</v>
      </c>
      <c r="G11">
        <v>3.5258898735046298</v>
      </c>
      <c r="H11">
        <v>3.3149999999999999E-2</v>
      </c>
      <c r="I11" s="3">
        <f t="shared" si="0"/>
        <v>3.7778793970743769</v>
      </c>
      <c r="J11" s="3">
        <f t="shared" si="1"/>
        <v>3.3149999999999999E-2</v>
      </c>
      <c r="N11">
        <v>10</v>
      </c>
      <c r="O11" s="2" t="s">
        <v>71</v>
      </c>
      <c r="P11" s="4">
        <f>(I47+I48+I49+I50+I51)/5</f>
        <v>6.8699161688486683</v>
      </c>
      <c r="Q11" s="4">
        <f>(J47+J48+J49+J50+J51)/5</f>
        <v>0.10157786666666646</v>
      </c>
    </row>
    <row r="12" spans="1:17" x14ac:dyDescent="0.3">
      <c r="A12">
        <v>11</v>
      </c>
      <c r="B12" t="s">
        <v>13</v>
      </c>
      <c r="C12">
        <v>5.1653430461883501</v>
      </c>
      <c r="D12">
        <v>5.2303999999999899E-2</v>
      </c>
      <c r="E12">
        <v>4.6104087829589799</v>
      </c>
      <c r="F12">
        <v>5.2311999999999997E-2</v>
      </c>
      <c r="G12">
        <v>4.1905670166015598</v>
      </c>
      <c r="H12">
        <v>5.2311999999999997E-2</v>
      </c>
      <c r="I12" s="3">
        <f t="shared" si="0"/>
        <v>4.6554396152496302</v>
      </c>
      <c r="J12" s="3">
        <f t="shared" si="1"/>
        <v>5.2309333333333298E-2</v>
      </c>
      <c r="N12">
        <v>11</v>
      </c>
      <c r="O12" s="2" t="s">
        <v>72</v>
      </c>
      <c r="P12" s="4">
        <f>(I52+I53+I54+I55+I56)/5</f>
        <v>6.3359832604726112</v>
      </c>
      <c r="Q12" s="4">
        <f>(J52+J53+J54+J55+J56)/5</f>
        <v>9.0753599999999851E-2</v>
      </c>
    </row>
    <row r="13" spans="1:17" x14ac:dyDescent="0.3">
      <c r="A13">
        <v>12</v>
      </c>
      <c r="B13" t="s">
        <v>14</v>
      </c>
      <c r="C13">
        <v>5.1896157264709402</v>
      </c>
      <c r="D13">
        <v>6.1058000000000001E-2</v>
      </c>
      <c r="E13">
        <v>4.2698428630828804</v>
      </c>
      <c r="F13">
        <v>3.2153999999999898E-2</v>
      </c>
      <c r="G13">
        <v>4.1094830036163303</v>
      </c>
      <c r="H13">
        <v>3.2146000000000001E-2</v>
      </c>
      <c r="I13" s="3">
        <f t="shared" si="0"/>
        <v>4.5229805310567173</v>
      </c>
      <c r="J13" s="3">
        <f t="shared" si="1"/>
        <v>4.1785999999999969E-2</v>
      </c>
    </row>
    <row r="14" spans="1:17" x14ac:dyDescent="0.3">
      <c r="A14">
        <v>13</v>
      </c>
      <c r="B14" t="s">
        <v>15</v>
      </c>
      <c r="C14">
        <v>7.9662325382232604</v>
      </c>
      <c r="D14">
        <v>0.10298400000000001</v>
      </c>
      <c r="E14">
        <v>8.0321617126464808</v>
      </c>
      <c r="F14">
        <v>0.10298400000000001</v>
      </c>
      <c r="G14">
        <v>7.1014168262481601</v>
      </c>
      <c r="H14">
        <v>0.102952</v>
      </c>
      <c r="I14" s="3">
        <f t="shared" si="0"/>
        <v>7.6999370257059665</v>
      </c>
      <c r="J14" s="3">
        <f t="shared" si="1"/>
        <v>0.10297333333333335</v>
      </c>
      <c r="P14" t="s">
        <v>73</v>
      </c>
      <c r="Q14" t="s">
        <v>74</v>
      </c>
    </row>
    <row r="15" spans="1:17" x14ac:dyDescent="0.3">
      <c r="A15">
        <v>14</v>
      </c>
      <c r="B15" t="s">
        <v>16</v>
      </c>
      <c r="C15">
        <v>3.8261237144470202</v>
      </c>
      <c r="D15">
        <v>1.4086E-2</v>
      </c>
      <c r="E15">
        <v>3.2894830703735298</v>
      </c>
      <c r="F15">
        <v>1.4086E-2</v>
      </c>
      <c r="G15">
        <v>3.5924119949340798</v>
      </c>
      <c r="H15">
        <v>1.4086E-2</v>
      </c>
      <c r="I15" s="3">
        <f t="shared" si="0"/>
        <v>3.5693395932515433</v>
      </c>
      <c r="J15" s="3">
        <f t="shared" si="1"/>
        <v>1.4086E-2</v>
      </c>
      <c r="P15" s="4">
        <f>SUM(P2:P12)/11</f>
        <v>5.7098271644476615</v>
      </c>
      <c r="Q15" s="4">
        <f>SUM(Q2:Q12)/11</f>
        <v>5.6468266666666621E-2</v>
      </c>
    </row>
    <row r="16" spans="1:17" x14ac:dyDescent="0.3">
      <c r="A16">
        <v>15</v>
      </c>
      <c r="B16" t="s">
        <v>17</v>
      </c>
      <c r="C16">
        <v>4.4542689323425204</v>
      </c>
      <c r="D16">
        <v>4.8842000000000003E-2</v>
      </c>
      <c r="E16">
        <v>4.2249155044555602</v>
      </c>
      <c r="F16">
        <v>4.8842000000000003E-2</v>
      </c>
      <c r="G16">
        <v>4.2417325973510698</v>
      </c>
      <c r="H16">
        <v>4.8842000000000003E-2</v>
      </c>
      <c r="I16" s="3">
        <f t="shared" si="0"/>
        <v>4.3069723447163843</v>
      </c>
      <c r="J16" s="3">
        <f t="shared" si="1"/>
        <v>4.8842000000000003E-2</v>
      </c>
    </row>
    <row r="17" spans="1:10" x14ac:dyDescent="0.3">
      <c r="A17">
        <v>16</v>
      </c>
      <c r="B17" t="s">
        <v>18</v>
      </c>
      <c r="C17">
        <v>3.7486944198608398</v>
      </c>
      <c r="D17">
        <v>5.4174E-2</v>
      </c>
      <c r="E17">
        <v>6.0528492927551198</v>
      </c>
      <c r="F17">
        <v>5.3997999999999997E-2</v>
      </c>
      <c r="G17">
        <v>8.0434088706970197</v>
      </c>
      <c r="H17">
        <v>0.10428999999999999</v>
      </c>
      <c r="I17" s="3">
        <f t="shared" si="0"/>
        <v>5.9483175277709934</v>
      </c>
      <c r="J17" s="3">
        <f t="shared" si="1"/>
        <v>7.0820666666666657E-2</v>
      </c>
    </row>
    <row r="18" spans="1:10" x14ac:dyDescent="0.3">
      <c r="A18">
        <v>17</v>
      </c>
      <c r="B18" t="s">
        <v>19</v>
      </c>
      <c r="C18">
        <v>4.9703314304351798</v>
      </c>
      <c r="D18">
        <v>3.4397999999999998E-2</v>
      </c>
      <c r="E18">
        <v>5.1427650451660103</v>
      </c>
      <c r="F18">
        <v>3.4341999999999998E-2</v>
      </c>
      <c r="G18">
        <v>5.8875815868377597</v>
      </c>
      <c r="H18">
        <v>3.4349999999999999E-2</v>
      </c>
      <c r="I18" s="3">
        <f t="shared" si="0"/>
        <v>5.3335593541463169</v>
      </c>
      <c r="J18" s="3">
        <f t="shared" si="1"/>
        <v>3.4363333333333329E-2</v>
      </c>
    </row>
    <row r="19" spans="1:10" x14ac:dyDescent="0.3">
      <c r="A19">
        <v>18</v>
      </c>
      <c r="B19" t="s">
        <v>20</v>
      </c>
      <c r="C19">
        <v>6.9465162754058802</v>
      </c>
      <c r="D19">
        <v>4.1722000000000002E-2</v>
      </c>
      <c r="E19">
        <v>5.3467874526977504</v>
      </c>
      <c r="F19">
        <v>4.1866E-2</v>
      </c>
      <c r="G19">
        <v>4.8907952308654696</v>
      </c>
      <c r="H19">
        <v>4.1737999999999997E-2</v>
      </c>
      <c r="I19" s="3">
        <f t="shared" si="0"/>
        <v>5.7280329863230337</v>
      </c>
      <c r="J19" s="3">
        <f t="shared" si="1"/>
        <v>4.1775333333333331E-2</v>
      </c>
    </row>
    <row r="20" spans="1:10" x14ac:dyDescent="0.3">
      <c r="A20">
        <v>19</v>
      </c>
      <c r="B20" t="s">
        <v>21</v>
      </c>
      <c r="C20">
        <v>5.37668752670288</v>
      </c>
      <c r="D20">
        <v>5.6177999999999999E-2</v>
      </c>
      <c r="E20">
        <v>6.7429790496826101</v>
      </c>
      <c r="F20">
        <v>5.6481999999999997E-2</v>
      </c>
      <c r="G20">
        <v>6.7984263896942103</v>
      </c>
      <c r="H20">
        <v>5.6945999999999997E-2</v>
      </c>
      <c r="I20" s="3">
        <f t="shared" si="0"/>
        <v>6.3060309886932338</v>
      </c>
      <c r="J20" s="3">
        <f t="shared" si="1"/>
        <v>5.6535333333333326E-2</v>
      </c>
    </row>
    <row r="21" spans="1:10" x14ac:dyDescent="0.3">
      <c r="A21">
        <v>20</v>
      </c>
      <c r="B21" t="s">
        <v>22</v>
      </c>
      <c r="C21">
        <v>7.3156666755676198</v>
      </c>
      <c r="D21">
        <v>5.5034E-2</v>
      </c>
      <c r="E21">
        <v>4.4528381824493399</v>
      </c>
      <c r="F21">
        <v>5.5114000000000003E-2</v>
      </c>
      <c r="G21">
        <v>5.6367642879486004</v>
      </c>
      <c r="H21">
        <v>5.5098000000000001E-2</v>
      </c>
      <c r="I21" s="3">
        <f t="shared" si="0"/>
        <v>5.8017563819885209</v>
      </c>
      <c r="J21" s="3">
        <f t="shared" si="1"/>
        <v>5.5081999999999999E-2</v>
      </c>
    </row>
    <row r="22" spans="1:10" x14ac:dyDescent="0.3">
      <c r="A22">
        <v>21</v>
      </c>
      <c r="B22" t="s">
        <v>23</v>
      </c>
      <c r="C22">
        <v>8.2549185752868599</v>
      </c>
      <c r="D22">
        <v>0.10116</v>
      </c>
      <c r="E22">
        <v>7.2924635410308802</v>
      </c>
      <c r="F22">
        <v>0.10112</v>
      </c>
      <c r="G22">
        <v>7.7615447044372496</v>
      </c>
      <c r="H22">
        <v>0.10112</v>
      </c>
      <c r="I22" s="3">
        <f t="shared" si="0"/>
        <v>7.7696422735849966</v>
      </c>
      <c r="J22" s="3">
        <f t="shared" si="1"/>
        <v>0.10113333333333334</v>
      </c>
    </row>
    <row r="23" spans="1:10" x14ac:dyDescent="0.3">
      <c r="A23">
        <v>22</v>
      </c>
      <c r="B23" t="s">
        <v>24</v>
      </c>
      <c r="C23">
        <v>12.7005252838134</v>
      </c>
      <c r="D23">
        <v>0.16147599999999901</v>
      </c>
      <c r="E23">
        <v>7.11081862449646</v>
      </c>
      <c r="F23">
        <v>0.108734</v>
      </c>
      <c r="G23">
        <v>7.5399436950683496</v>
      </c>
      <c r="H23">
        <v>0.10883</v>
      </c>
      <c r="I23" s="3">
        <f t="shared" si="0"/>
        <v>9.1170958677927363</v>
      </c>
      <c r="J23" s="3">
        <f t="shared" si="1"/>
        <v>0.12634666666666633</v>
      </c>
    </row>
    <row r="24" spans="1:10" x14ac:dyDescent="0.3">
      <c r="A24">
        <v>23</v>
      </c>
      <c r="B24" t="s">
        <v>25</v>
      </c>
      <c r="C24">
        <v>10.6161882877349</v>
      </c>
      <c r="D24">
        <v>0.14712800000000001</v>
      </c>
      <c r="E24">
        <v>9.7872300148010201</v>
      </c>
      <c r="F24">
        <v>0.14712800000000001</v>
      </c>
      <c r="G24">
        <v>10.9625949859619</v>
      </c>
      <c r="H24">
        <v>0.147256</v>
      </c>
      <c r="I24" s="3">
        <f t="shared" si="0"/>
        <v>10.455337762832606</v>
      </c>
      <c r="J24" s="3">
        <f t="shared" si="1"/>
        <v>0.14717066666666667</v>
      </c>
    </row>
    <row r="25" spans="1:10" x14ac:dyDescent="0.3">
      <c r="A25">
        <v>24</v>
      </c>
      <c r="B25" t="s">
        <v>26</v>
      </c>
      <c r="C25">
        <v>8.1074690818786603</v>
      </c>
      <c r="D25">
        <v>9.7505999999999995E-2</v>
      </c>
      <c r="E25">
        <v>7.5144362449645996</v>
      </c>
      <c r="F25">
        <v>9.7477999999999995E-2</v>
      </c>
      <c r="G25">
        <v>7.6835012435912997</v>
      </c>
      <c r="H25">
        <v>9.7538E-2</v>
      </c>
      <c r="I25" s="3">
        <f t="shared" si="0"/>
        <v>7.7684688568115199</v>
      </c>
      <c r="J25" s="3">
        <f t="shared" si="1"/>
        <v>9.7507333333333335E-2</v>
      </c>
    </row>
    <row r="26" spans="1:10" x14ac:dyDescent="0.3">
      <c r="A26">
        <v>25</v>
      </c>
      <c r="B26" t="s">
        <v>27</v>
      </c>
      <c r="C26">
        <v>4.7973268032073904</v>
      </c>
      <c r="D26">
        <v>5.3193999999999998E-2</v>
      </c>
      <c r="E26">
        <v>4.56978058815002</v>
      </c>
      <c r="F26">
        <v>5.3201999999999999E-2</v>
      </c>
      <c r="G26">
        <v>6.1557855606079102</v>
      </c>
      <c r="H26">
        <v>5.3314E-2</v>
      </c>
      <c r="I26" s="3">
        <f t="shared" si="0"/>
        <v>5.1742976506551068</v>
      </c>
      <c r="J26" s="3">
        <f t="shared" si="1"/>
        <v>5.3236666666666661E-2</v>
      </c>
    </row>
    <row r="27" spans="1:10" x14ac:dyDescent="0.3">
      <c r="A27">
        <v>26</v>
      </c>
      <c r="B27" t="s">
        <v>28</v>
      </c>
      <c r="C27">
        <v>6.7588961124420104</v>
      </c>
      <c r="D27">
        <v>1.4028000000000001E-2</v>
      </c>
      <c r="E27">
        <v>5.9816009998321498</v>
      </c>
      <c r="F27">
        <v>1.4028000000000001E-2</v>
      </c>
      <c r="G27">
        <v>7.1408221721649099</v>
      </c>
      <c r="H27">
        <v>1.4028000000000001E-2</v>
      </c>
      <c r="I27" s="3">
        <f t="shared" si="0"/>
        <v>6.6271064281463561</v>
      </c>
      <c r="J27" s="3">
        <f t="shared" si="1"/>
        <v>1.4028000000000001E-2</v>
      </c>
    </row>
    <row r="28" spans="1:10" x14ac:dyDescent="0.3">
      <c r="A28">
        <v>27</v>
      </c>
      <c r="B28" t="s">
        <v>29</v>
      </c>
      <c r="C28">
        <v>6.6479759216308496</v>
      </c>
      <c r="D28">
        <v>1.3979999999999999E-2</v>
      </c>
      <c r="E28">
        <v>7.9190762042999197</v>
      </c>
      <c r="F28">
        <v>1.3979999999999999E-2</v>
      </c>
      <c r="G28">
        <v>5.6670804023742596</v>
      </c>
      <c r="H28">
        <v>1.3979999999999999E-2</v>
      </c>
      <c r="I28" s="3">
        <f t="shared" si="0"/>
        <v>6.7447108427683427</v>
      </c>
      <c r="J28" s="3">
        <f t="shared" si="1"/>
        <v>1.3979999999999999E-2</v>
      </c>
    </row>
    <row r="29" spans="1:10" x14ac:dyDescent="0.3">
      <c r="A29">
        <v>28</v>
      </c>
      <c r="B29" t="s">
        <v>30</v>
      </c>
      <c r="C29">
        <v>7.5075750350952104</v>
      </c>
      <c r="D29">
        <v>1.4368000000000001E-2</v>
      </c>
      <c r="E29">
        <v>6.8832414150238002</v>
      </c>
      <c r="F29">
        <v>1.4368000000000001E-2</v>
      </c>
      <c r="G29">
        <v>7.8542091846466002</v>
      </c>
      <c r="H29">
        <v>1.4368000000000001E-2</v>
      </c>
      <c r="I29" s="3">
        <f t="shared" si="0"/>
        <v>7.4150085449218706</v>
      </c>
      <c r="J29" s="3">
        <f t="shared" si="1"/>
        <v>1.4368000000000001E-2</v>
      </c>
    </row>
    <row r="30" spans="1:10" x14ac:dyDescent="0.3">
      <c r="A30">
        <v>29</v>
      </c>
      <c r="B30" t="s">
        <v>31</v>
      </c>
      <c r="C30">
        <v>13.0173749923706</v>
      </c>
      <c r="D30">
        <v>2.57519999999999E-2</v>
      </c>
      <c r="E30">
        <v>14.480151176452599</v>
      </c>
      <c r="F30">
        <v>2.57519999999999E-2</v>
      </c>
      <c r="G30">
        <v>16.788584709167399</v>
      </c>
      <c r="H30">
        <v>2.5759999999999901E-2</v>
      </c>
      <c r="I30" s="3">
        <f t="shared" si="0"/>
        <v>14.762036959330198</v>
      </c>
      <c r="J30" s="3">
        <f t="shared" si="1"/>
        <v>2.5754666666666565E-2</v>
      </c>
    </row>
    <row r="31" spans="1:10" x14ac:dyDescent="0.3">
      <c r="A31">
        <v>30</v>
      </c>
      <c r="B31" t="s">
        <v>32</v>
      </c>
      <c r="C31">
        <v>7.5732257366180402</v>
      </c>
      <c r="D31">
        <v>1.4291999999999999E-2</v>
      </c>
      <c r="E31">
        <v>5.9497177600860596</v>
      </c>
      <c r="F31">
        <v>1.4291999999999999E-2</v>
      </c>
      <c r="G31">
        <v>8.5371448993682808</v>
      </c>
      <c r="H31">
        <v>1.4291999999999999E-2</v>
      </c>
      <c r="I31" s="3">
        <f t="shared" si="0"/>
        <v>7.3533627986907932</v>
      </c>
      <c r="J31" s="3">
        <f t="shared" si="1"/>
        <v>1.4291999999999999E-2</v>
      </c>
    </row>
    <row r="32" spans="1:10" x14ac:dyDescent="0.3">
      <c r="A32">
        <v>31</v>
      </c>
      <c r="B32" t="s">
        <v>33</v>
      </c>
      <c r="C32">
        <v>4.5320127010345397</v>
      </c>
      <c r="D32">
        <v>5.3207999999999998E-2</v>
      </c>
      <c r="E32">
        <v>4.1169397830963099</v>
      </c>
      <c r="F32">
        <v>5.3151999999999998E-2</v>
      </c>
      <c r="G32">
        <v>3.7027089595794598</v>
      </c>
      <c r="H32">
        <v>5.3151999999999998E-2</v>
      </c>
      <c r="I32" s="3">
        <f t="shared" si="0"/>
        <v>4.1172204812367701</v>
      </c>
      <c r="J32" s="3">
        <f t="shared" si="1"/>
        <v>5.3170666666666665E-2</v>
      </c>
    </row>
    <row r="33" spans="1:10" x14ac:dyDescent="0.3">
      <c r="A33">
        <v>32</v>
      </c>
      <c r="B33" t="s">
        <v>34</v>
      </c>
      <c r="C33">
        <v>6.1079454421996999</v>
      </c>
      <c r="D33">
        <v>5.348E-2</v>
      </c>
      <c r="E33">
        <v>3.6776583194732599</v>
      </c>
      <c r="F33">
        <v>5.348E-2</v>
      </c>
      <c r="G33">
        <v>4.12430715560913</v>
      </c>
      <c r="H33">
        <v>5.348E-2</v>
      </c>
      <c r="I33" s="3">
        <f t="shared" si="0"/>
        <v>4.6366369724273637</v>
      </c>
      <c r="J33" s="3">
        <f t="shared" si="1"/>
        <v>5.348E-2</v>
      </c>
    </row>
    <row r="34" spans="1:10" x14ac:dyDescent="0.3">
      <c r="A34">
        <v>33</v>
      </c>
      <c r="B34" t="s">
        <v>35</v>
      </c>
      <c r="C34">
        <v>4.7059700489044101</v>
      </c>
      <c r="D34">
        <v>4.9459999999999997E-2</v>
      </c>
      <c r="E34">
        <v>4.2165806293487504</v>
      </c>
      <c r="F34">
        <v>4.9459999999999997E-2</v>
      </c>
      <c r="G34">
        <v>5.3081905841827304</v>
      </c>
      <c r="H34">
        <v>4.9459999999999997E-2</v>
      </c>
      <c r="I34" s="3">
        <f t="shared" si="0"/>
        <v>4.7435804208119636</v>
      </c>
      <c r="J34" s="3">
        <f t="shared" si="1"/>
        <v>4.9459999999999997E-2</v>
      </c>
    </row>
    <row r="35" spans="1:10" x14ac:dyDescent="0.3">
      <c r="A35">
        <v>34</v>
      </c>
      <c r="B35" t="s">
        <v>36</v>
      </c>
      <c r="C35">
        <v>5.2091474533081001</v>
      </c>
      <c r="D35">
        <v>4.7624E-2</v>
      </c>
      <c r="E35">
        <v>4.1181120872497496</v>
      </c>
      <c r="F35">
        <v>4.7559999999999998E-2</v>
      </c>
      <c r="G35">
        <v>4.4528701305389404</v>
      </c>
      <c r="H35">
        <v>4.7559999999999998E-2</v>
      </c>
      <c r="I35" s="3">
        <f t="shared" si="0"/>
        <v>4.593376557032264</v>
      </c>
      <c r="J35" s="3">
        <f t="shared" si="1"/>
        <v>4.758133333333333E-2</v>
      </c>
    </row>
    <row r="36" spans="1:10" x14ac:dyDescent="0.3">
      <c r="A36">
        <v>35</v>
      </c>
      <c r="B36" t="s">
        <v>37</v>
      </c>
      <c r="C36">
        <v>4.4381778240203804</v>
      </c>
      <c r="D36">
        <v>5.1128E-2</v>
      </c>
      <c r="E36">
        <v>3.8147220611572199</v>
      </c>
      <c r="F36">
        <v>5.1223999999999999E-2</v>
      </c>
      <c r="G36">
        <v>4.0915861129760698</v>
      </c>
      <c r="H36">
        <v>5.1111999999999998E-2</v>
      </c>
      <c r="I36" s="3">
        <f t="shared" si="0"/>
        <v>4.1148286660512232</v>
      </c>
      <c r="J36" s="3">
        <f t="shared" si="1"/>
        <v>5.1154666666666661E-2</v>
      </c>
    </row>
    <row r="37" spans="1:10" x14ac:dyDescent="0.3">
      <c r="A37">
        <v>36</v>
      </c>
      <c r="B37" t="s">
        <v>38</v>
      </c>
      <c r="C37">
        <v>4.6113791465759197</v>
      </c>
      <c r="D37">
        <v>3.9177999999999998E-2</v>
      </c>
      <c r="E37">
        <v>3.6858382225036599</v>
      </c>
      <c r="F37">
        <v>3.9114000000000003E-2</v>
      </c>
      <c r="G37">
        <v>5.0433545112609801</v>
      </c>
      <c r="H37">
        <v>3.9169999999999899E-2</v>
      </c>
      <c r="I37" s="3">
        <f t="shared" si="0"/>
        <v>4.4468572934468531</v>
      </c>
      <c r="J37" s="3">
        <f t="shared" si="1"/>
        <v>3.9153999999999967E-2</v>
      </c>
    </row>
    <row r="38" spans="1:10" x14ac:dyDescent="0.3">
      <c r="A38">
        <v>37</v>
      </c>
      <c r="B38" t="s">
        <v>39</v>
      </c>
      <c r="C38">
        <v>4.1013686656951904</v>
      </c>
      <c r="D38">
        <v>3.3787999999999999E-2</v>
      </c>
      <c r="E38">
        <v>4.2021672725677401</v>
      </c>
      <c r="F38">
        <v>3.3787999999999999E-2</v>
      </c>
      <c r="G38">
        <v>4.9482951164245597</v>
      </c>
      <c r="H38">
        <v>3.3779999999999998E-2</v>
      </c>
      <c r="I38" s="3">
        <f t="shared" si="0"/>
        <v>4.4172770182291634</v>
      </c>
      <c r="J38" s="3">
        <f t="shared" si="1"/>
        <v>3.3785333333333334E-2</v>
      </c>
    </row>
    <row r="39" spans="1:10" x14ac:dyDescent="0.3">
      <c r="A39">
        <v>38</v>
      </c>
      <c r="B39" t="s">
        <v>40</v>
      </c>
      <c r="C39">
        <v>3.6452972888946502</v>
      </c>
      <c r="D39">
        <v>3.01059999999999E-2</v>
      </c>
      <c r="E39">
        <v>3.5306031703948899</v>
      </c>
      <c r="F39">
        <v>3.01059999999999E-2</v>
      </c>
      <c r="G39">
        <v>4.1063642501831001</v>
      </c>
      <c r="H39">
        <v>3.0098E-2</v>
      </c>
      <c r="I39" s="3">
        <f t="shared" si="0"/>
        <v>3.7607549031575469</v>
      </c>
      <c r="J39" s="3">
        <f t="shared" si="1"/>
        <v>3.010333333333327E-2</v>
      </c>
    </row>
    <row r="40" spans="1:10" x14ac:dyDescent="0.3">
      <c r="A40">
        <v>39</v>
      </c>
      <c r="B40" t="s">
        <v>41</v>
      </c>
      <c r="C40">
        <v>3.5259866714477499</v>
      </c>
      <c r="D40">
        <v>3.2416E-2</v>
      </c>
      <c r="E40">
        <v>4.0271813869476301</v>
      </c>
      <c r="F40">
        <v>3.2416E-2</v>
      </c>
      <c r="G40">
        <v>4.7478249073028502</v>
      </c>
      <c r="H40">
        <v>3.2432000000000002E-2</v>
      </c>
      <c r="I40" s="3">
        <f t="shared" si="0"/>
        <v>4.1003309885660775</v>
      </c>
      <c r="J40" s="3">
        <f t="shared" si="1"/>
        <v>3.2421333333333337E-2</v>
      </c>
    </row>
    <row r="41" spans="1:10" x14ac:dyDescent="0.3">
      <c r="A41">
        <v>40</v>
      </c>
      <c r="B41" t="s">
        <v>42</v>
      </c>
      <c r="C41">
        <v>3.9205014705657901</v>
      </c>
      <c r="D41">
        <v>3.456E-2</v>
      </c>
      <c r="E41">
        <v>3.6214716434478702</v>
      </c>
      <c r="F41">
        <v>3.4655999999999999E-2</v>
      </c>
      <c r="G41">
        <v>4.1040377616882298</v>
      </c>
      <c r="H41">
        <v>3.456E-2</v>
      </c>
      <c r="I41" s="3">
        <f t="shared" si="0"/>
        <v>3.8820036252339634</v>
      </c>
      <c r="J41" s="3">
        <f t="shared" si="1"/>
        <v>3.4592000000000005E-2</v>
      </c>
    </row>
    <row r="42" spans="1:10" x14ac:dyDescent="0.3">
      <c r="A42">
        <v>41</v>
      </c>
      <c r="B42" t="s">
        <v>43</v>
      </c>
      <c r="C42">
        <v>4.93969655036926</v>
      </c>
      <c r="D42">
        <v>5.9749999999999998E-2</v>
      </c>
      <c r="E42">
        <v>4.6040880680084202</v>
      </c>
      <c r="F42">
        <v>5.9749999999999998E-2</v>
      </c>
      <c r="G42">
        <v>5.1929216384887598</v>
      </c>
      <c r="H42">
        <v>5.9749999999999998E-2</v>
      </c>
      <c r="I42" s="3">
        <f t="shared" si="0"/>
        <v>4.91223541895548</v>
      </c>
      <c r="J42" s="3">
        <f t="shared" si="1"/>
        <v>5.9749999999999998E-2</v>
      </c>
    </row>
    <row r="43" spans="1:10" x14ac:dyDescent="0.3">
      <c r="A43">
        <v>42</v>
      </c>
      <c r="B43" t="s">
        <v>44</v>
      </c>
      <c r="C43">
        <v>6.5866091251373202</v>
      </c>
      <c r="D43">
        <v>4.9950000000000001E-2</v>
      </c>
      <c r="E43">
        <v>4.3357477188110298</v>
      </c>
      <c r="F43">
        <v>4.9965999999999899E-2</v>
      </c>
      <c r="G43">
        <v>4.5173578262329102</v>
      </c>
      <c r="H43">
        <v>4.999E-2</v>
      </c>
      <c r="I43" s="3">
        <f t="shared" si="0"/>
        <v>5.1465715567270864</v>
      </c>
      <c r="J43" s="3">
        <f t="shared" si="1"/>
        <v>4.9968666666666633E-2</v>
      </c>
    </row>
    <row r="44" spans="1:10" x14ac:dyDescent="0.3">
      <c r="A44">
        <v>43</v>
      </c>
      <c r="B44" t="s">
        <v>45</v>
      </c>
      <c r="C44">
        <v>4.24997854232788</v>
      </c>
      <c r="D44">
        <v>5.6121999999999998E-2</v>
      </c>
      <c r="E44">
        <v>4.4595987796783403</v>
      </c>
      <c r="F44">
        <v>5.6385999999999999E-2</v>
      </c>
      <c r="G44">
        <v>4.4112465381622297</v>
      </c>
      <c r="H44">
        <v>5.6353999999999897E-2</v>
      </c>
      <c r="I44" s="3">
        <f t="shared" si="0"/>
        <v>4.3736079533894836</v>
      </c>
      <c r="J44" s="3">
        <f t="shared" si="1"/>
        <v>5.62873333333333E-2</v>
      </c>
    </row>
    <row r="45" spans="1:10" x14ac:dyDescent="0.3">
      <c r="A45">
        <v>44</v>
      </c>
      <c r="B45" t="s">
        <v>46</v>
      </c>
      <c r="C45">
        <v>6.5069065093994096</v>
      </c>
      <c r="D45">
        <v>5.7936000000000001E-2</v>
      </c>
      <c r="E45">
        <v>4.2740449905395499</v>
      </c>
      <c r="F45">
        <v>5.6455999999999999E-2</v>
      </c>
      <c r="G45">
        <v>5.6816413402557302</v>
      </c>
      <c r="H45">
        <v>5.7632000000000003E-2</v>
      </c>
      <c r="I45" s="3">
        <f>(C45+E45+G45)/3</f>
        <v>5.4875309467315629</v>
      </c>
      <c r="J45" s="3">
        <f t="shared" si="1"/>
        <v>5.7341333333333334E-2</v>
      </c>
    </row>
    <row r="46" spans="1:10" x14ac:dyDescent="0.3">
      <c r="A46">
        <v>45</v>
      </c>
      <c r="B46" t="s">
        <v>47</v>
      </c>
      <c r="C46">
        <v>4.8134183883666903</v>
      </c>
      <c r="D46">
        <v>3.6305999999999998E-2</v>
      </c>
      <c r="E46">
        <v>4.1553626060485804</v>
      </c>
      <c r="F46">
        <v>3.6249999999999998E-2</v>
      </c>
      <c r="G46">
        <v>4.0340130329132</v>
      </c>
      <c r="H46">
        <v>3.6305999999999998E-2</v>
      </c>
      <c r="I46" s="3">
        <f t="shared" si="0"/>
        <v>4.3342646757761569</v>
      </c>
      <c r="J46" s="3">
        <f t="shared" si="1"/>
        <v>3.6287333333333331E-2</v>
      </c>
    </row>
    <row r="47" spans="1:10" x14ac:dyDescent="0.3">
      <c r="A47">
        <v>46</v>
      </c>
      <c r="B47" t="s">
        <v>48</v>
      </c>
      <c r="C47">
        <v>7.8395092487335196</v>
      </c>
      <c r="D47">
        <v>9.9692000000000003E-2</v>
      </c>
      <c r="E47">
        <v>6.9241211414337096</v>
      </c>
      <c r="F47">
        <v>9.9676000000000001E-2</v>
      </c>
      <c r="G47">
        <v>6.7448334693908603</v>
      </c>
      <c r="H47">
        <v>9.9659999999999999E-2</v>
      </c>
      <c r="I47" s="3">
        <f t="shared" si="0"/>
        <v>7.1694879531860307</v>
      </c>
      <c r="J47" s="3">
        <f t="shared" si="1"/>
        <v>9.9675999999999987E-2</v>
      </c>
    </row>
    <row r="48" spans="1:10" x14ac:dyDescent="0.3">
      <c r="A48">
        <v>47</v>
      </c>
      <c r="B48" t="s">
        <v>49</v>
      </c>
      <c r="C48">
        <v>7.4021935462951598</v>
      </c>
      <c r="D48">
        <v>0.10621800000000001</v>
      </c>
      <c r="E48">
        <v>7.54931187629699</v>
      </c>
      <c r="F48">
        <v>0.106626</v>
      </c>
      <c r="G48">
        <v>7.3385670185089102</v>
      </c>
      <c r="H48">
        <v>0.10585</v>
      </c>
      <c r="I48" s="3">
        <f t="shared" si="0"/>
        <v>7.430024147033687</v>
      </c>
      <c r="J48" s="3">
        <f t="shared" si="1"/>
        <v>0.10623133333333334</v>
      </c>
    </row>
    <row r="49" spans="1:10" x14ac:dyDescent="0.3">
      <c r="A49">
        <v>48</v>
      </c>
      <c r="B49" t="s">
        <v>50</v>
      </c>
      <c r="C49">
        <v>7.2420754432678196</v>
      </c>
      <c r="D49">
        <v>0.10376199999999999</v>
      </c>
      <c r="E49">
        <v>6.5069172382354701</v>
      </c>
      <c r="F49">
        <v>0.10373</v>
      </c>
      <c r="G49">
        <v>5.8006348609924299</v>
      </c>
      <c r="H49">
        <v>0.103586</v>
      </c>
      <c r="I49" s="3">
        <f t="shared" si="0"/>
        <v>6.5165425141652404</v>
      </c>
      <c r="J49" s="3">
        <f t="shared" si="1"/>
        <v>0.10369266666666667</v>
      </c>
    </row>
    <row r="50" spans="1:10" x14ac:dyDescent="0.3">
      <c r="A50">
        <v>49</v>
      </c>
      <c r="B50" t="s">
        <v>51</v>
      </c>
      <c r="C50">
        <v>7.3368217945098797</v>
      </c>
      <c r="D50">
        <v>0.100367999999999</v>
      </c>
      <c r="E50">
        <v>7.1337127685546804</v>
      </c>
      <c r="F50">
        <v>0.100367999999999</v>
      </c>
      <c r="G50">
        <v>6.8144023418426496</v>
      </c>
      <c r="H50">
        <v>0.100839999999999</v>
      </c>
      <c r="I50" s="3">
        <f t="shared" si="0"/>
        <v>7.0949789683024038</v>
      </c>
      <c r="J50" s="3">
        <f t="shared" si="1"/>
        <v>0.10052533333333234</v>
      </c>
    </row>
    <row r="51" spans="1:10" x14ac:dyDescent="0.3">
      <c r="A51">
        <v>50</v>
      </c>
      <c r="B51" t="s">
        <v>52</v>
      </c>
      <c r="C51">
        <v>6.6520760059356601</v>
      </c>
      <c r="D51">
        <v>9.7764000000000004E-2</v>
      </c>
      <c r="E51">
        <v>6.1065857410430899</v>
      </c>
      <c r="F51">
        <v>9.7764000000000004E-2</v>
      </c>
      <c r="G51">
        <v>5.6569800376892001</v>
      </c>
      <c r="H51">
        <v>9.7764000000000004E-2</v>
      </c>
      <c r="I51" s="3">
        <f t="shared" si="0"/>
        <v>6.1385472615559822</v>
      </c>
      <c r="J51" s="3">
        <f t="shared" si="1"/>
        <v>9.7764000000000004E-2</v>
      </c>
    </row>
    <row r="52" spans="1:10" x14ac:dyDescent="0.3">
      <c r="A52">
        <v>51</v>
      </c>
      <c r="B52" t="s">
        <v>53</v>
      </c>
      <c r="C52">
        <v>6.34474778175354</v>
      </c>
      <c r="D52">
        <v>8.0409999999999995E-2</v>
      </c>
      <c r="E52">
        <v>5.1954021453857404</v>
      </c>
      <c r="F52">
        <v>8.0449999999999994E-2</v>
      </c>
      <c r="G52">
        <v>5.3476521968841499</v>
      </c>
      <c r="H52">
        <v>8.0433999999999894E-2</v>
      </c>
      <c r="I52" s="3">
        <f t="shared" si="0"/>
        <v>5.6292673746744768</v>
      </c>
      <c r="J52" s="3">
        <f t="shared" si="1"/>
        <v>8.0431333333333299E-2</v>
      </c>
    </row>
    <row r="53" spans="1:10" x14ac:dyDescent="0.3">
      <c r="A53">
        <v>52</v>
      </c>
      <c r="B53" t="s">
        <v>54</v>
      </c>
      <c r="C53">
        <v>6.5593249797821001</v>
      </c>
      <c r="D53">
        <v>8.5697999999999996E-2</v>
      </c>
      <c r="E53">
        <v>5.1927962303161603</v>
      </c>
      <c r="F53">
        <v>8.5697999999999996E-2</v>
      </c>
      <c r="G53">
        <v>6.5770537853240896</v>
      </c>
      <c r="H53">
        <v>8.5697999999999996E-2</v>
      </c>
      <c r="I53" s="3">
        <f t="shared" si="0"/>
        <v>6.1097249984741167</v>
      </c>
      <c r="J53" s="3">
        <f t="shared" si="1"/>
        <v>8.5697999999999996E-2</v>
      </c>
    </row>
    <row r="54" spans="1:10" x14ac:dyDescent="0.3">
      <c r="A54">
        <v>53</v>
      </c>
      <c r="B54" t="s">
        <v>55</v>
      </c>
      <c r="C54">
        <v>6.9461224079132</v>
      </c>
      <c r="D54">
        <v>9.9057999999999993E-2</v>
      </c>
      <c r="E54">
        <v>5.7403285503387398</v>
      </c>
      <c r="F54">
        <v>9.8993999999999999E-2</v>
      </c>
      <c r="G54">
        <v>6.4754493236541704</v>
      </c>
      <c r="H54">
        <v>9.9010000000000001E-2</v>
      </c>
      <c r="I54" s="3">
        <f t="shared" si="0"/>
        <v>6.3873000939687037</v>
      </c>
      <c r="J54" s="3">
        <f t="shared" si="1"/>
        <v>9.902066666666666E-2</v>
      </c>
    </row>
    <row r="55" spans="1:10" x14ac:dyDescent="0.3">
      <c r="A55">
        <v>54</v>
      </c>
      <c r="B55" t="s">
        <v>56</v>
      </c>
      <c r="C55">
        <v>9.5604929924011195</v>
      </c>
      <c r="D55">
        <v>0.104673999999999</v>
      </c>
      <c r="E55">
        <v>6.7717514038085902</v>
      </c>
      <c r="F55">
        <v>0.104785999999999</v>
      </c>
      <c r="G55">
        <v>7.3943758010864196</v>
      </c>
      <c r="H55">
        <v>0.104666</v>
      </c>
      <c r="I55" s="3">
        <f t="shared" si="0"/>
        <v>7.9088733990987095</v>
      </c>
      <c r="J55" s="3">
        <f t="shared" si="1"/>
        <v>0.10470866666666601</v>
      </c>
    </row>
    <row r="56" spans="1:10" x14ac:dyDescent="0.3">
      <c r="A56">
        <v>55</v>
      </c>
      <c r="B56" t="s">
        <v>57</v>
      </c>
      <c r="C56">
        <v>5.7442102432250897</v>
      </c>
      <c r="D56">
        <v>8.3904000000000006E-2</v>
      </c>
      <c r="E56">
        <v>5.48500156402587</v>
      </c>
      <c r="F56">
        <v>8.3912E-2</v>
      </c>
      <c r="G56">
        <v>5.7050395011901802</v>
      </c>
      <c r="H56">
        <v>8.3912E-2</v>
      </c>
      <c r="I56" s="3">
        <f t="shared" si="0"/>
        <v>5.6447504361470466</v>
      </c>
      <c r="J56" s="3">
        <f t="shared" si="1"/>
        <v>8.3909333333333336E-2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2026-03-23T11:14:34Z</dcterms:modified>
</cp:coreProperties>
</file>